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drawings/drawing7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s\generador oc\"/>
    </mc:Choice>
  </mc:AlternateContent>
  <xr:revisionPtr revIDLastSave="0" documentId="13_ncr:1_{674A607C-348D-4F9D-BF2E-E385E6E5E50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PITAL" sheetId="1" r:id="rId1"/>
    <sheet name="MAHUIDA" sheetId="2" r:id="rId2"/>
    <sheet name="VENT.PVC 01" sheetId="3" state="hidden" r:id="rId3"/>
    <sheet name="EBEMA 02" sheetId="4" state="hidden" r:id="rId4"/>
    <sheet name="EBEMA 03" sheetId="5" state="hidden" r:id="rId5"/>
    <sheet name="TODOSLOSMATERIALES" sheetId="6" state="hidden" r:id="rId6"/>
    <sheet name="LISTADO DE MATERIALES" sheetId="7" state="hidden" r:id="rId7"/>
    <sheet name="LE" sheetId="8" r:id="rId8"/>
  </sheets>
  <definedNames>
    <definedName name="_xlcn.WorksheetConnection_ORDENESDECOMPRA.xlsxEBEMA" hidden="1">'LISTADO DE MATERIALES'!$A$5:$C$34</definedName>
    <definedName name="DatosExternos_1" localSheetId="5" hidden="1">TODOSLOSMATERIALES!$B$1:$E$194</definedName>
    <definedName name="items" localSheetId="0">OFFSET(#REF!,0,0,MATCH(REPT("z",255),#REF!),1)</definedName>
    <definedName name="items" localSheetId="3">OFFSET(#REF!,0,0,MATCH(REPT("z",255),#REF!),1)</definedName>
    <definedName name="items" localSheetId="4">OFFSET(#REF!,0,0,MATCH(REPT("z",255),#REF!),1)</definedName>
    <definedName name="items" localSheetId="1">OFFSET(#REF!,0,0,MATCH(REPT("z",255),#REF!),1)</definedName>
    <definedName name="items">OFFSET(#REF!,0,0,MATCH(REPT("z",255),#REF!),1)</definedName>
    <definedName name="_xlnm.Print_Area" localSheetId="0">CAPITAL!$B$2:$I$48</definedName>
    <definedName name="_xlnm.Print_Area" localSheetId="3">'EBEMA 02'!$A$2:$H$48</definedName>
    <definedName name="_xlnm.Print_Area" localSheetId="4">'EBEMA 03'!$A$2:$H$48</definedName>
    <definedName name="_xlnm.Print_Area" localSheetId="1">MAHUIDA!$B$2:$I$48</definedName>
    <definedName name="_xlnm.Print_Area" localSheetId="2">'VENT.PVC 01'!$A$2:$G$47</definedName>
    <definedName name="SegmentaciónDeDatos_EMPRESA">#N/A</definedName>
    <definedName name="valuevx">42.314159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7" i="5" l="1"/>
  <c r="H26" i="5"/>
  <c r="H25" i="5"/>
  <c r="H24" i="5"/>
  <c r="H23" i="5"/>
  <c r="H22" i="5"/>
  <c r="H21" i="5"/>
  <c r="H6" i="5"/>
  <c r="H31" i="4"/>
  <c r="H30" i="4"/>
  <c r="H29" i="4"/>
  <c r="H28" i="4"/>
  <c r="H27" i="4"/>
  <c r="H26" i="4"/>
  <c r="H25" i="4"/>
  <c r="H24" i="4"/>
  <c r="H23" i="4"/>
  <c r="H22" i="4"/>
  <c r="H39" i="4" s="1"/>
  <c r="H21" i="4"/>
  <c r="H6" i="4"/>
  <c r="G27" i="3"/>
  <c r="G26" i="3"/>
  <c r="G25" i="3"/>
  <c r="G24" i="3"/>
  <c r="G23" i="3"/>
  <c r="G22" i="3"/>
  <c r="G21" i="3"/>
  <c r="G20" i="3"/>
  <c r="G6" i="3"/>
  <c r="I38" i="2"/>
  <c r="C38" i="2"/>
  <c r="I37" i="2"/>
  <c r="C37" i="2"/>
  <c r="I36" i="2"/>
  <c r="C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B18" i="2"/>
  <c r="B17" i="2"/>
  <c r="B16" i="2"/>
  <c r="B15" i="2"/>
  <c r="B12" i="2"/>
  <c r="I6" i="2"/>
  <c r="I38" i="1"/>
  <c r="C38" i="1"/>
  <c r="I37" i="1"/>
  <c r="C37" i="1"/>
  <c r="I36" i="1"/>
  <c r="C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B18" i="1"/>
  <c r="B17" i="1"/>
  <c r="B16" i="1"/>
  <c r="B15" i="1"/>
  <c r="B12" i="1"/>
  <c r="I6" i="1"/>
  <c r="G38" i="3" l="1"/>
  <c r="G39" i="3" s="1"/>
  <c r="G42" i="3" s="1"/>
  <c r="H39" i="5"/>
  <c r="I39" i="2"/>
  <c r="I39" i="1"/>
  <c r="I40" i="1" s="1"/>
  <c r="I43" i="1" s="1"/>
  <c r="H40" i="4"/>
  <c r="H43" i="4" s="1"/>
  <c r="H40" i="5"/>
  <c r="H43" i="5" s="1"/>
  <c r="I40" i="2" l="1"/>
  <c r="I43" i="2" s="1"/>
</calcChain>
</file>

<file path=xl/sharedStrings.xml><?xml version="1.0" encoding="utf-8"?>
<sst xmlns="http://schemas.openxmlformats.org/spreadsheetml/2006/main" count="1124" uniqueCount="370">
  <si>
    <t>CONSTRUCTORA CAPITAL LIMITADA.</t>
  </si>
  <si>
    <t>ORDEN DE COMPRA</t>
  </si>
  <si>
    <t>O'higgins 01081</t>
  </si>
  <si>
    <t>FECHA</t>
  </si>
  <si>
    <t>Temuco, Región De La Araucania.</t>
  </si>
  <si>
    <t>OC #</t>
  </si>
  <si>
    <t>Telefono: 452317491</t>
  </si>
  <si>
    <t>Sitio Web: www.constructoracapital.cl</t>
  </si>
  <si>
    <t>VENDEDOR</t>
  </si>
  <si>
    <t>FORMA DE PAGO</t>
  </si>
  <si>
    <t>cheque 30 días</t>
  </si>
  <si>
    <t>MCT</t>
  </si>
  <si>
    <t>CONDICION DE ENTREGA</t>
  </si>
  <si>
    <t>retiro bodega</t>
  </si>
  <si>
    <t>COTIZACIÓN N°</t>
  </si>
  <si>
    <t>ARTICULO #</t>
  </si>
  <si>
    <t>DESCRIPCIÓN</t>
  </si>
  <si>
    <t>CANT</t>
  </si>
  <si>
    <t>UN</t>
  </si>
  <si>
    <t>p/u</t>
  </si>
  <si>
    <t>TOTAL</t>
  </si>
  <si>
    <t>[42]</t>
  </si>
  <si>
    <t>SUBTOTAL</t>
  </si>
  <si>
    <t>Comentarios o instrucciones especiales</t>
  </si>
  <si>
    <t>IMPUESTO</t>
  </si>
  <si>
    <t>STOCK BODEGA OHIGGINS.</t>
  </si>
  <si>
    <t>ENVÍO</t>
  </si>
  <si>
    <t>OTRO</t>
  </si>
  <si>
    <t>Si usted tiene alguna pregunta sobre esta orden de compra, por favor, póngase en contacto con</t>
  </si>
  <si>
    <t>[CLAUDIA PONCE RAPIMAN, +452317491, CLAUDIA@SOCIEDADMAHUIDA.CL]</t>
  </si>
  <si>
    <t>SOCIEDAD CONSTRUCTORA MAHUIDA LIMITADA.</t>
  </si>
  <si>
    <t>Sitio Web: www.sociedadmahuida.cl</t>
  </si>
  <si>
    <t>Andres Bello 765 OF.71</t>
  </si>
  <si>
    <t>Telefono: +569955304795</t>
  </si>
  <si>
    <t>Fabrica de ventanas José Álvarez Hormazabal EIRL.</t>
  </si>
  <si>
    <t>76682532-k</t>
  </si>
  <si>
    <t>Camino Huichahue km 10 Cruce Momberg</t>
  </si>
  <si>
    <t>Temuco, Region de La Araucania</t>
  </si>
  <si>
    <t>±569 89889083</t>
  </si>
  <si>
    <t>Master_jose17@hotmail.com</t>
  </si>
  <si>
    <t>VENT. PVC</t>
  </si>
  <si>
    <t>VENTANA DVH PVC BATIENTE 113X46</t>
  </si>
  <si>
    <t>VENTANA DVH PVC BATIENTE 121,5X123</t>
  </si>
  <si>
    <t>VENTANA DVH PVC BATIENTE 103,5X94</t>
  </si>
  <si>
    <t>VENTANA DVH PVC BATIENTE 139,5X115,5</t>
  </si>
  <si>
    <t>VENTANA DVH PVC BATIENTE 200X101,5</t>
  </si>
  <si>
    <t>VENTANA DVH PVC BATIENTE 113X100</t>
  </si>
  <si>
    <t>VENTANA DVH PVC BATIENTE 100X100</t>
  </si>
  <si>
    <t>VENTANA DVH PVC BATIENTE 38,5X92</t>
  </si>
  <si>
    <t>OBRA: MEJORAMIENTO TÉRMICO PDA VIVIENDA JORGE ALVARES COÑARIPE 070</t>
  </si>
  <si>
    <t>[CLAUDIA PONCE RAPIMAN, +56955304795, CLAUDIA@SOCIEDADMAHUIDA.CL]</t>
  </si>
  <si>
    <t>Marcelo Arias A.</t>
  </si>
  <si>
    <t>Ebema S.A.</t>
  </si>
  <si>
    <t>83.585.400-0</t>
  </si>
  <si>
    <t>Suc. Temuco Reyes Catolicos 01550</t>
  </si>
  <si>
    <t>±569 74994160</t>
  </si>
  <si>
    <t>marias@ebema.cl</t>
  </si>
  <si>
    <t>SIDING VOLCAN NATIVA 0,19X3,66X6MM</t>
  </si>
  <si>
    <t xml:space="preserve">PINO DIMENSIONADO IMPREGNADO 2X2X3,20MT </t>
  </si>
  <si>
    <t>TERCIADO ESTR.1RA 15MM 122X244</t>
  </si>
  <si>
    <t>PL</t>
  </si>
  <si>
    <t xml:space="preserve">TAB.OSB 9.5MM 1.22X2.44 S-APA B-N </t>
  </si>
  <si>
    <t>FIELTRO CREPADO 10/40 40M2 BECTON</t>
  </si>
  <si>
    <t>PL. ECONOBOARD 4MM 1.20x2.40</t>
  </si>
  <si>
    <t>JGO. MARCO PUERTA 30X90X5500MM</t>
  </si>
  <si>
    <t>DISCO CORTE METAL RASTA 41/2" 3205</t>
  </si>
  <si>
    <t>WEBER TEK. ESPUMA EXP. POLIURETANO 740</t>
  </si>
  <si>
    <t xml:space="preserve">PISO LAM 8MM CEREZO PIANO AC3CL31 </t>
  </si>
  <si>
    <t>CJ</t>
  </si>
  <si>
    <t>ESPUMA NIVELADORA 3MM ( 10 MTS )</t>
  </si>
  <si>
    <t>OBRA: MEJORAMIENTO TÉRMICO PDA VIVIENDA JUAN QUEZADA, C. BERNARDO IV</t>
  </si>
  <si>
    <t>Cheque, a 30 días</t>
  </si>
  <si>
    <t>Retiro en tienda</t>
  </si>
  <si>
    <t xml:space="preserve">PINO DIMENSIONADO IMPREGNADO 2X3X3,20MT </t>
  </si>
  <si>
    <t>OBRA: MEJORAMIENTO TÉRMICO PDA VIVIENDA FERNANDO GARCES CORDILLERA 1</t>
  </si>
  <si>
    <t>CÓDIGO</t>
  </si>
  <si>
    <t>VALOR NETO</t>
  </si>
  <si>
    <t>EMPRESA</t>
  </si>
  <si>
    <t>500448</t>
  </si>
  <si>
    <t>AISLANGLASS LIBRE 140mm 1.20x7.5</t>
  </si>
  <si>
    <t>EBEMA</t>
  </si>
  <si>
    <t>500417</t>
  </si>
  <si>
    <t>AISLANGLASS LIBRE 50MM 1.20 X 24</t>
  </si>
  <si>
    <t>521601</t>
  </si>
  <si>
    <t>AISLANGLASS 80MM LIBRE 1.20X12 MT</t>
  </si>
  <si>
    <t>500423</t>
  </si>
  <si>
    <t>AISLANGLASS P-1C 50MM 1.20 X 24</t>
  </si>
  <si>
    <t>515812</t>
  </si>
  <si>
    <t>VOLCANITA 12,5MM RF 1.20 X 2.40</t>
  </si>
  <si>
    <t>511923</t>
  </si>
  <si>
    <t>PUERTA ATABLER, OREGON ACCESO 080X200</t>
  </si>
  <si>
    <t>501364</t>
  </si>
  <si>
    <t>BISAGRA LIOI 86 3.1/2x3.1/2 CT</t>
  </si>
  <si>
    <t>506687</t>
  </si>
  <si>
    <t>510704</t>
  </si>
  <si>
    <t xml:space="preserve"> PL. ECONOBOARD 4MM 1.20x2.40</t>
  </si>
  <si>
    <t>510706</t>
  </si>
  <si>
    <t>PL. ECONOBOARD 6MM 1.20x2.40</t>
  </si>
  <si>
    <t>514393</t>
  </si>
  <si>
    <t>514394</t>
  </si>
  <si>
    <t>TERCIADO ESTR.1RA 18MM 122X244</t>
  </si>
  <si>
    <t>508118</t>
  </si>
  <si>
    <t xml:space="preserve">MOLD. PINO FINGER 1/4 RODON 20X20X3000 </t>
  </si>
  <si>
    <t>505212</t>
  </si>
  <si>
    <t>513631</t>
  </si>
  <si>
    <t>513627</t>
  </si>
  <si>
    <t>TAB.OSB 11.1MM 1.22X2.44 S/APA B-N</t>
  </si>
  <si>
    <t>505552</t>
  </si>
  <si>
    <t>513007</t>
  </si>
  <si>
    <t>520113</t>
  </si>
  <si>
    <t>TORN VOLC ZINC P FINA 6X1 1/4'' H.GR IMP</t>
  </si>
  <si>
    <t>503405</t>
  </si>
  <si>
    <t>CLAVO TECHO 2 ½ X 8 C/SELLO BOL 1 KG IMP</t>
  </si>
  <si>
    <t>516126</t>
  </si>
  <si>
    <t>513219</t>
  </si>
  <si>
    <t>SIKAFLEX 11-FC GRIS 300cc</t>
  </si>
  <si>
    <t>504642</t>
  </si>
  <si>
    <t>521324</t>
  </si>
  <si>
    <t>PISO LAM 8MM CEREZO PIANO AC3CL31</t>
  </si>
  <si>
    <t>517671</t>
  </si>
  <si>
    <t>517672</t>
  </si>
  <si>
    <t xml:space="preserve"> PINO DIMENSIONADO IMPREGNADO 2X3X3,20MT </t>
  </si>
  <si>
    <t>501797</t>
  </si>
  <si>
    <t>BROCHA ECONOMICA VERDE 4</t>
  </si>
  <si>
    <t>522381</t>
  </si>
  <si>
    <t>TORN CAB HEX.10-12X2 1/2 P. ESPADA C/GOL</t>
  </si>
  <si>
    <t>521583</t>
  </si>
  <si>
    <t>LANA DE VIDRIO LIBRE 140MM 1,2 X 7,5M IMP</t>
  </si>
  <si>
    <t>522569</t>
  </si>
  <si>
    <t>CERRAD. ACCESO COLONIAL 206 ODIS</t>
  </si>
  <si>
    <t>510076</t>
  </si>
  <si>
    <t>PINO BRUTO IMPREGNADO 2X2X3.20_</t>
  </si>
  <si>
    <t>511114</t>
  </si>
  <si>
    <t>PLS.POLICARB TRANSP 05MM X2500</t>
  </si>
  <si>
    <t>505558</t>
  </si>
  <si>
    <t>FIELTRO LISO 10/40 40M2 BECTON</t>
  </si>
  <si>
    <t>515805</t>
  </si>
  <si>
    <t>VOLCANITA 10MM 1,20 X 2,40 ST BR</t>
  </si>
  <si>
    <t>510077</t>
  </si>
  <si>
    <t>PINO BRUTO IMPREGNADO 2X3X3.20</t>
  </si>
  <si>
    <t>510078</t>
  </si>
  <si>
    <t>PINO BRUTO IMPREGNADO 2X4X3.20</t>
  </si>
  <si>
    <t>510229</t>
  </si>
  <si>
    <t>PINO BRUTO IMPREGNADO 2X6X3.20</t>
  </si>
  <si>
    <t>513347</t>
  </si>
  <si>
    <t>SMARTSIDE PAN. 11.1MM 122X244 R8</t>
  </si>
  <si>
    <t>507015</t>
  </si>
  <si>
    <t>LANA DE VIDRIO LIBRE 50MM ROL.28,8M2 IMP</t>
  </si>
  <si>
    <t>507014</t>
  </si>
  <si>
    <t>LANA DE VIDRIO LIBRE 50MM ROL.14,4M2 IMP</t>
  </si>
  <si>
    <t>508675</t>
  </si>
  <si>
    <t>OSB TECHSHIELD 11.1x1.22x2.44</t>
  </si>
  <si>
    <t>514387</t>
  </si>
  <si>
    <t>TERC.RANURADO COLONIAL 1RA 9MM122X244</t>
  </si>
  <si>
    <t>100REX30122</t>
  </si>
  <si>
    <t>SILICONA ALTA TEMPERATURA ROJA 300ML</t>
  </si>
  <si>
    <t>INSURVENT</t>
  </si>
  <si>
    <t>200FUL30202</t>
  </si>
  <si>
    <t>POLIURETANO PU BLANCO 310ML</t>
  </si>
  <si>
    <t>200fFUL30235</t>
  </si>
  <si>
    <t>ESPUMA ADHESIVA 750 ML</t>
  </si>
  <si>
    <t>200FUL30231</t>
  </si>
  <si>
    <t>LIQUIDO DE LIMPIEZA LATA 500ML</t>
  </si>
  <si>
    <t>100COM79053</t>
  </si>
  <si>
    <t>DISCO 4 1/2 CORTE METAL  115X1,2X22,23</t>
  </si>
  <si>
    <t>1200LZL10005</t>
  </si>
  <si>
    <t>RODILLO FIBRA SINTETICA PELO LARGO 20MM/18CM/7"</t>
  </si>
  <si>
    <t>200FUL30270</t>
  </si>
  <si>
    <t>PISTOLA PARA ESPUMA ADHESIVA</t>
  </si>
  <si>
    <t>100REX30124</t>
  </si>
  <si>
    <t>ESPUMA NORMAL 750ML</t>
  </si>
  <si>
    <t>TORNILLO VOLCANITA 1 1/4 100U</t>
  </si>
  <si>
    <t>ins1</t>
  </si>
  <si>
    <t>ACRILICO PINTABLE BLANCO C / F 310 ml</t>
  </si>
  <si>
    <t>2012120002150</t>
  </si>
  <si>
    <t>CUBREJUNTA ALFOM.PLANO CAFÉ 3m</t>
  </si>
  <si>
    <t>DVP</t>
  </si>
  <si>
    <t>2012150002150</t>
  </si>
  <si>
    <t>NARIZ DE GRADA 37x37mmx3m CAFE</t>
  </si>
  <si>
    <t>1710100012150</t>
  </si>
  <si>
    <t>SUPERSELLO FELPA AUTOAD.CAFE BOLSA 1UN</t>
  </si>
  <si>
    <t>HOJALATERIA MIRIAM</t>
  </si>
  <si>
    <t>PTA1</t>
  </si>
  <si>
    <t>PTA.MCZ RINO RAD 70*200</t>
  </si>
  <si>
    <t>SOCIEDAD DEL SUR SPA</t>
  </si>
  <si>
    <t>PTA2</t>
  </si>
  <si>
    <t>PTA.MCZ RINO RAD 80*200</t>
  </si>
  <si>
    <t>PCA912EI25BL6</t>
  </si>
  <si>
    <t>TEXTU EIFS G-25 LINO SUAVE</t>
  </si>
  <si>
    <t>DEL SUR PINTURERIA</t>
  </si>
  <si>
    <t>PCA912G25BIN6</t>
  </si>
  <si>
    <t>TEXTU EIFS G-25 CAFÉ CON LECHE</t>
  </si>
  <si>
    <t>PCA929BAME056</t>
  </si>
  <si>
    <t>LATEX SUPER929 CAFÉ CON LECHE</t>
  </si>
  <si>
    <t>2415502</t>
  </si>
  <si>
    <t>RODILLO CORTA GOTA HELA 7"</t>
  </si>
  <si>
    <t>NEXXO4"</t>
  </si>
  <si>
    <t>BROCHA NEXXO 4"</t>
  </si>
  <si>
    <t>80040001</t>
  </si>
  <si>
    <t>DILUYENTE INVIERNO ZZ LT</t>
  </si>
  <si>
    <t>PCA907BASE056</t>
  </si>
  <si>
    <t>ZINC ACRYL BAE CAFÉ OSCURO</t>
  </si>
  <si>
    <t>12AT396940</t>
  </si>
  <si>
    <t>BROCHA ATLAS 4"</t>
  </si>
  <si>
    <t>6100210</t>
  </si>
  <si>
    <t>LIJA MADERA 120</t>
  </si>
  <si>
    <t>NEXXO2"</t>
  </si>
  <si>
    <t>BROCHA NEXXO 2"</t>
  </si>
  <si>
    <t>PCAESM905BLO1</t>
  </si>
  <si>
    <t>ESMALTE AL AGUA BLANCO INGLES</t>
  </si>
  <si>
    <t>RENRETHHBBLAN</t>
  </si>
  <si>
    <t>RETHANE HB BLANCO</t>
  </si>
  <si>
    <t>RENCATRETHAHB</t>
  </si>
  <si>
    <t xml:space="preserve">CATALIZADOR RETHANE HB </t>
  </si>
  <si>
    <t>DILUPOLIURETA</t>
  </si>
  <si>
    <t>DILUYENTE POLIURETANOI 1LTS</t>
  </si>
  <si>
    <t>10701311</t>
  </si>
  <si>
    <t>RODILLO FIBRA 06MM. 18CM.o 7" LIZCAL</t>
  </si>
  <si>
    <t>13YW0050</t>
  </si>
  <si>
    <t>MASKING TAPE 2" AKFIX</t>
  </si>
  <si>
    <t>PCAPLUS971056</t>
  </si>
  <si>
    <t>IMPREGNANTE FIBROPLUS S/MUESTRA</t>
  </si>
  <si>
    <t>PCA 921CASA056</t>
  </si>
  <si>
    <t>IMPREGNANTE FIBROPLUS CASA MAQUINA 4 GALONES</t>
  </si>
  <si>
    <t>102057</t>
  </si>
  <si>
    <t>TARUGO CLAVO HPS 8 X 120 MM</t>
  </si>
  <si>
    <t>ADCO</t>
  </si>
  <si>
    <t>10177</t>
  </si>
  <si>
    <t>SILICONA AUTOMOTRIZ ROJA ALTA TEMP SOUDAL 300 ML</t>
  </si>
  <si>
    <t>200102</t>
  </si>
  <si>
    <t>SELLO E VENTANA COREDERA 6mt-café</t>
  </si>
  <si>
    <t>JONAS</t>
  </si>
  <si>
    <t>255646</t>
  </si>
  <si>
    <t>KIT EXTRACTOR RETON 100BTH CON ADAPTADOR Y CELOSIA#150 BLANCA</t>
  </si>
  <si>
    <t>197075</t>
  </si>
  <si>
    <t xml:space="preserve"> KIT EXTRACTOR RETON 100 BTH CON ADAPTADOR Y CELOSIA #150 BLANCA KIT EXTRACTOR CON TIMER E HIGROSTATO (50-90% RH) 100mm, 99 m3/RH.COMPUERTA ANTI-RETORNO Y KIT DE INST. EXT. (ADAP. Y CELOS. #150 BLCA.) GARANTÍA: 5 AÑOS FABRICACIÓN: INGLESA (197075-661063-801701)</t>
  </si>
  <si>
    <t>EXTRACTOR RETON 100 BTH EXTRACTOR CON TIMER E HIGROSTATO (50-90% RH) DIAM. 100mm, 99 m3/rh. CON COMPUERTA ANTIR-RETORNO GARANTIA: 5 AÑOS - FABRICACIÓN INGLESA</t>
  </si>
  <si>
    <t xml:space="preserve">SELLOS E VENTANAS DE CORREDERA SELLOS E VENTANAS DE CORREDERA 6MT - CAFÉ </t>
  </si>
  <si>
    <t>250698</t>
  </si>
  <si>
    <t>Vent. Pasiva Jonas 4 Version cuadrada (F) con Tyfon y
Filtro MP 2.5
100mm c/direccion aire- 8,1 l/s Celosia Tyfon (aguaviento-
ruido) Plast. ASA filtro UV y Condens. Filtro
Flimmer certif. Int. MP 2,5 y Filtro polvo (249820-661070
-661063-664003-910008-423777)</t>
  </si>
  <si>
    <t>PB15PLA00080A</t>
  </si>
  <si>
    <t>M2 AISLAPLUS 1000X500X80MM 15KG/M3</t>
  </si>
  <si>
    <t>AISLAPANEL</t>
  </si>
  <si>
    <t>ARRZA448</t>
  </si>
  <si>
    <t>P1 Z/AL AC 0,35X851X2, 00MT 150</t>
  </si>
  <si>
    <t>SALOMON SACK S.A.</t>
  </si>
  <si>
    <t>ARRZA4500</t>
  </si>
  <si>
    <t>P1 Z/AL AC 0,35X851X2,50MT 150</t>
  </si>
  <si>
    <t>ARRZA4520</t>
  </si>
  <si>
    <t>P1 Z/AL AC 0,35X851X3,00MT 150</t>
  </si>
  <si>
    <t>ARRZA4640</t>
  </si>
  <si>
    <t>Pl EC Z/A Ac 0,3x851x2000mm 80</t>
  </si>
  <si>
    <t>AIS1</t>
  </si>
  <si>
    <t>BASE PRO EIFS SACO 22,7KG ETCO</t>
  </si>
  <si>
    <t>AISLACENTRO</t>
  </si>
  <si>
    <t>AIS2</t>
  </si>
  <si>
    <t>PERFIL EIFS PVC MALLA TERMINACION 2,5MT</t>
  </si>
  <si>
    <t>AIS3</t>
  </si>
  <si>
    <t>MALLA EIFS BLANCA 50M2</t>
  </si>
  <si>
    <t>POL1</t>
  </si>
  <si>
    <t>2X2X3,2 MTS</t>
  </si>
  <si>
    <t>POLINCENTER</t>
  </si>
  <si>
    <t>POL2</t>
  </si>
  <si>
    <t>CUARTO RODÓN FÍNGER 1X1"X3,0 MTS.</t>
  </si>
  <si>
    <t>POL3</t>
  </si>
  <si>
    <t>Set marcos de puerta 1,5x4" x5,4 mts. Económico medula tras cara</t>
  </si>
  <si>
    <t>POL4</t>
  </si>
  <si>
    <t xml:space="preserve">set marcos de puerta 1,5x4"x5,4 mts. </t>
  </si>
  <si>
    <t>TETEM1</t>
  </si>
  <si>
    <t>PAQUETE AISLAPOL POLINCENTER</t>
  </si>
  <si>
    <t>TERMOTEM</t>
  </si>
  <si>
    <t>TETEM2</t>
  </si>
  <si>
    <t>ESPUMA DE POLIURETANO EPANDIBLE AXFIX 700 NORMAL. 750 ML</t>
  </si>
  <si>
    <t>TETEM3</t>
  </si>
  <si>
    <t>SELLADOR DE POLIURETANO GRIS AKFIX P635 TERMOTEM</t>
  </si>
  <si>
    <t>TETEM4</t>
  </si>
  <si>
    <t>ESPUMA ADHESIVA DE POLIURETANO AKFIX 967P 60-SEG</t>
  </si>
  <si>
    <t>TETEM5</t>
  </si>
  <si>
    <t>LIMPIADOR DE ESPUMA DE POLIURETANO AKFIX 800C</t>
  </si>
  <si>
    <t>TETEM6</t>
  </si>
  <si>
    <t>PISTOLA APLICADORA</t>
  </si>
  <si>
    <t>TETEM7</t>
  </si>
  <si>
    <t>ADHESIVO SISCOAT SACO 23 KG</t>
  </si>
  <si>
    <t>TETEM8</t>
  </si>
  <si>
    <t>ESQUINERO PVC, TIRA PVC 2.5 ML</t>
  </si>
  <si>
    <t>TETEM9</t>
  </si>
  <si>
    <t>ebema</t>
  </si>
  <si>
    <t>Columna1</t>
  </si>
  <si>
    <t>Columna2</t>
  </si>
  <si>
    <t>Columna3</t>
  </si>
  <si>
    <t>SIKAFLEX</t>
  </si>
  <si>
    <t>empresa</t>
  </si>
  <si>
    <t>vendedor</t>
  </si>
  <si>
    <t>RUT</t>
  </si>
  <si>
    <t>dirección</t>
  </si>
  <si>
    <t>ubicación</t>
  </si>
  <si>
    <t>Numero contacto</t>
  </si>
  <si>
    <t>correo electrónico</t>
  </si>
  <si>
    <t>Hugo Jaque</t>
  </si>
  <si>
    <t>Las Aguilas 982</t>
  </si>
  <si>
    <t>Padre Las Casas, Region de La Araucania</t>
  </si>
  <si>
    <t>(452)749925</t>
  </si>
  <si>
    <t>ventasinsurvent@gmail.com</t>
  </si>
  <si>
    <t>TEMUCO</t>
  </si>
  <si>
    <t>89.689.900-7</t>
  </si>
  <si>
    <t>FREIRE 761</t>
  </si>
  <si>
    <t>(56) 45 227 2829</t>
  </si>
  <si>
    <t>temuco@dvp.cl</t>
  </si>
  <si>
    <t>Jorge Parra</t>
  </si>
  <si>
    <t>76.577.319-9</t>
  </si>
  <si>
    <t>camino a labranza km 6,5</t>
  </si>
  <si>
    <t>-</t>
  </si>
  <si>
    <t>JORGE.PARRA@DEPASOCIADOS.CL</t>
  </si>
  <si>
    <t>52.005.017-5</t>
  </si>
  <si>
    <t>avda. Inés de suarez 1073 local 1</t>
  </si>
  <si>
    <t>(562) 2791 1930</t>
  </si>
  <si>
    <t>PINTURERIA DEL SUR LIMITADA</t>
  </si>
  <si>
    <t>Rafael Padilla Parra</t>
  </si>
  <si>
    <t>76.565.296-0</t>
  </si>
  <si>
    <t>san martín 117 local 105</t>
  </si>
  <si>
    <t>(452)520156</t>
  </si>
  <si>
    <t>Miguel Bravo Segura</t>
  </si>
  <si>
    <t>76.102.612-7</t>
  </si>
  <si>
    <t>Av. Pedro de valdivia 0682-a</t>
  </si>
  <si>
    <t>(56 45) 318391</t>
  </si>
  <si>
    <t>Claudia Bravo</t>
  </si>
  <si>
    <t>96.788.050-7</t>
  </si>
  <si>
    <t>Miguel Faraday 2470 bodega 10</t>
  </si>
  <si>
    <t>+56 9 5158 6942</t>
  </si>
  <si>
    <t>mguzman@aislapanel.cl</t>
  </si>
  <si>
    <t>Eelyn Fredes Rojas</t>
  </si>
  <si>
    <t>90.970.000-0</t>
  </si>
  <si>
    <t>Barros Arana 028</t>
  </si>
  <si>
    <t>(569)88521146</t>
  </si>
  <si>
    <t>evelyn.fredes@sack.cl</t>
  </si>
  <si>
    <t>JAIME VARAS</t>
  </si>
  <si>
    <t>76.277.373-2</t>
  </si>
  <si>
    <t>MARINA 44, PUEBLO NUEVO</t>
  </si>
  <si>
    <t>045-2213148</t>
  </si>
  <si>
    <t>VENTASTEMUCO@AISLACENTRO.CL</t>
  </si>
  <si>
    <t>Jaime muñoz</t>
  </si>
  <si>
    <t>96.355.000-6</t>
  </si>
  <si>
    <t>Caupolican 957</t>
  </si>
  <si>
    <t>jjmunoz@mct.cl</t>
  </si>
  <si>
    <t>FRINDT S.A</t>
  </si>
  <si>
    <t>NICOLAS MEDINA</t>
  </si>
  <si>
    <t>81.151.900-6</t>
  </si>
  <si>
    <t>Manuel Rodríguez 1015</t>
  </si>
  <si>
    <t>nicolas.medina@frindtsa.cl</t>
  </si>
  <si>
    <t xml:space="preserve">EL COPIHUE SPA  </t>
  </si>
  <si>
    <t>RAUL PINTO</t>
  </si>
  <si>
    <t>77.308.704-0</t>
  </si>
  <si>
    <t>Calle Valdivia 1746</t>
  </si>
  <si>
    <t>56 9 8228 1744</t>
  </si>
  <si>
    <t>RAULPINTO@COPIHUEMETALICO.CL</t>
  </si>
  <si>
    <t>IVERZUR</t>
  </si>
  <si>
    <t>RUBEN GONZALES</t>
  </si>
  <si>
    <t>77.048.909-1</t>
  </si>
  <si>
    <t>OHIGGINS NRO. 87</t>
  </si>
  <si>
    <t xml:space="preserve"> 9057 3249</t>
  </si>
  <si>
    <t>ELECTROCOM</t>
  </si>
  <si>
    <t>ELVIS NAVARRETE</t>
  </si>
  <si>
    <t>Portales 1198.</t>
  </si>
  <si>
    <t>enavarrete@electrocom.cl</t>
  </si>
  <si>
    <t>CONSTRUMART S.A</t>
  </si>
  <si>
    <t>CRISTIAN JIMENEZ</t>
  </si>
  <si>
    <t>96.511.460-2</t>
  </si>
  <si>
    <t xml:space="preserve">cjimenez@construmart.cl </t>
  </si>
  <si>
    <t xml:space="preserve"> Pedro de Valdivia 0535</t>
  </si>
  <si>
    <t>cheque 45 días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</si>
</sst>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 &quot;$&quot;* #,##0_ ;_ &quot;$&quot;* \-#,##0_ ;_ &quot;$&quot;* &quot;-&quot;_ ;_ @_ "/>
    <numFmt numFmtId="43" formatCode="_ * #,##0.00_ ;_ * \-#,##0.00_ ;_ * &quot;-&quot;??_ ;_ @_ "/>
    <numFmt numFmtId="164" formatCode="&quot;$&quot;#,##0.00"/>
    <numFmt numFmtId="165" formatCode="&quot;$&quot;#,##0"/>
    <numFmt numFmtId="166" formatCode="&quot;$&quot;#,##0.0"/>
  </numFmts>
  <fonts count="25" x14ac:knownFonts="1">
    <font>
      <sz val="10"/>
      <name val="Trebuchet MS"/>
      <family val="2"/>
    </font>
    <font>
      <sz val="10"/>
      <name val="Verdana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8"/>
      <name val="Tahoma"/>
      <family val="2"/>
    </font>
    <font>
      <sz val="10"/>
      <name val="Arial"/>
      <family val="2"/>
      <scheme val="minor"/>
    </font>
    <font>
      <b/>
      <sz val="10"/>
      <name val="Arial"/>
      <family val="2"/>
      <scheme val="minor"/>
    </font>
    <font>
      <b/>
      <sz val="10"/>
      <color indexed="9"/>
      <name val="Arial"/>
      <family val="2"/>
      <scheme val="major"/>
    </font>
    <font>
      <b/>
      <sz val="10"/>
      <name val="Arial"/>
      <family val="2"/>
      <scheme val="major"/>
    </font>
    <font>
      <sz val="2"/>
      <color indexed="9"/>
      <name val="Trebuchet MS"/>
      <family val="2"/>
    </font>
    <font>
      <sz val="10"/>
      <color theme="4"/>
      <name val="Arial"/>
      <family val="2"/>
    </font>
    <font>
      <sz val="9"/>
      <color theme="4"/>
      <name val="Arial"/>
      <family val="2"/>
    </font>
    <font>
      <b/>
      <sz val="9"/>
      <color theme="4"/>
      <name val="Arial"/>
      <family val="2"/>
    </font>
    <font>
      <sz val="20"/>
      <name val="Trebuchet MS"/>
      <family val="2"/>
    </font>
    <font>
      <b/>
      <sz val="20"/>
      <color indexed="52"/>
      <name val="Trebuchet MS"/>
      <family val="2"/>
    </font>
    <font>
      <b/>
      <sz val="20"/>
      <color theme="4" tint="0.39997558519241921"/>
      <name val="Arial"/>
      <family val="2"/>
      <scheme val="major"/>
    </font>
    <font>
      <b/>
      <sz val="11"/>
      <color theme="4" tint="0.39997558519241921"/>
      <name val="Arial"/>
      <family val="2"/>
      <scheme val="major"/>
    </font>
    <font>
      <b/>
      <sz val="14"/>
      <color indexed="9"/>
      <name val="Arial"/>
      <family val="2"/>
      <scheme val="major"/>
    </font>
    <font>
      <sz val="10"/>
      <color theme="1"/>
      <name val="Trebuchet MS"/>
      <family val="2"/>
    </font>
    <font>
      <b/>
      <sz val="10"/>
      <color theme="1"/>
      <name val="Trebuchet MS"/>
      <family val="2"/>
    </font>
    <font>
      <sz val="10"/>
      <color rgb="FF000000"/>
      <name val="Trebuchet MS"/>
      <family val="2"/>
    </font>
    <font>
      <sz val="36"/>
      <color rgb="FF000000"/>
      <name val="Trebuchet MS"/>
      <family val="2"/>
    </font>
    <font>
      <sz val="10"/>
      <color theme="1"/>
      <name val="Trebuchet MS"/>
      <family val="2"/>
    </font>
    <font>
      <sz val="10"/>
      <color theme="1"/>
      <name val="Arial"/>
      <family val="2"/>
      <scheme val="minor"/>
    </font>
    <font>
      <b/>
      <sz val="18"/>
      <color theme="4" tint="0.39997558519241921"/>
      <name val="Arial"/>
      <family val="2"/>
      <scheme val="major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/>
        <bgColor theme="0" tint="-0.14999847407452621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</patternFill>
    </fill>
    <fill>
      <patternFill patternType="solid">
        <fgColor indexed="65"/>
        <bgColor theme="0"/>
      </patternFill>
    </fill>
  </fills>
  <borders count="59">
    <border>
      <left/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 style="thin">
        <color indexed="64"/>
      </right>
      <top style="thin">
        <color theme="0" tint="-0.14990691854609822"/>
      </top>
      <bottom style="thin">
        <color theme="0" tint="-0.149906918546098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55"/>
      </bottom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14999847407452621"/>
      </top>
      <bottom style="thin">
        <color theme="0" tint="-0.34998626667073579"/>
      </bottom>
      <diagonal/>
    </border>
    <border>
      <left/>
      <right/>
      <top style="thin">
        <color theme="4"/>
      </top>
      <bottom style="thin">
        <color theme="0" tint="-0.14999847407452621"/>
      </bottom>
      <diagonal/>
    </border>
  </borders>
  <cellStyleXfs count="3">
    <xf numFmtId="0" fontId="0" fillId="0" borderId="0"/>
    <xf numFmtId="43" fontId="1" fillId="0" borderId="0"/>
    <xf numFmtId="0" fontId="3" fillId="0" borderId="0">
      <alignment vertical="top"/>
      <protection locked="0"/>
    </xf>
  </cellStyleXfs>
  <cellXfs count="213">
    <xf numFmtId="0" fontId="0" fillId="0" borderId="0" xfId="0"/>
    <xf numFmtId="0" fontId="4" fillId="0" borderId="0" xfId="1" applyNumberFormat="1" applyFont="1" applyAlignment="1">
      <alignment horizontal="left"/>
    </xf>
    <xf numFmtId="0" fontId="5" fillId="0" borderId="0" xfId="0" applyFont="1"/>
    <xf numFmtId="0" fontId="2" fillId="0" borderId="0" xfId="0" applyFont="1"/>
    <xf numFmtId="0" fontId="0" fillId="0" borderId="0" xfId="0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9" fillId="0" borderId="2" xfId="0" applyFont="1" applyBorder="1" applyAlignment="1">
      <alignment vertical="center"/>
    </xf>
    <xf numFmtId="0" fontId="5" fillId="0" borderId="0" xfId="0" applyFont="1" applyAlignment="1">
      <alignment horizontal="right" vertical="center" indent="1"/>
    </xf>
    <xf numFmtId="0" fontId="7" fillId="4" borderId="0" xfId="0" applyFont="1" applyFill="1" applyAlignment="1">
      <alignment vertical="center"/>
    </xf>
    <xf numFmtId="10" fontId="7" fillId="4" borderId="16" xfId="0" applyNumberFormat="1" applyFont="1" applyFill="1" applyBorder="1" applyAlignment="1">
      <alignment horizontal="center" vertical="center" shrinkToFit="1"/>
    </xf>
    <xf numFmtId="0" fontId="5" fillId="0" borderId="19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7" fillId="4" borderId="17" xfId="0" applyFont="1" applyFill="1" applyBorder="1" applyAlignment="1">
      <alignment horizontal="center" vertical="center" shrinkToFit="1"/>
    </xf>
    <xf numFmtId="0" fontId="7" fillId="4" borderId="18" xfId="0" applyFont="1" applyFill="1" applyBorder="1" applyAlignment="1">
      <alignment horizontal="center" vertical="center" shrinkToFit="1"/>
    </xf>
    <xf numFmtId="0" fontId="3" fillId="0" borderId="0" xfId="2" applyAlignment="1" applyProtection="1"/>
    <xf numFmtId="0" fontId="10" fillId="0" borderId="0" xfId="0" applyFont="1"/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/>
    <xf numFmtId="14" fontId="5" fillId="0" borderId="6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7" fillId="4" borderId="0" xfId="0" applyFont="1" applyFill="1" applyAlignment="1">
      <alignment horizontal="left" vertical="center" indent="1"/>
    </xf>
    <xf numFmtId="0" fontId="7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0" fontId="13" fillId="0" borderId="0" xfId="0" applyFont="1"/>
    <xf numFmtId="0" fontId="14" fillId="0" borderId="0" xfId="0" applyFont="1"/>
    <xf numFmtId="0" fontId="15" fillId="0" borderId="0" xfId="0" applyFont="1" applyAlignment="1">
      <alignment horizontal="right"/>
    </xf>
    <xf numFmtId="0" fontId="3" fillId="0" borderId="0" xfId="2" applyAlignment="1" applyProtection="1">
      <alignment vertical="center"/>
    </xf>
    <xf numFmtId="49" fontId="0" fillId="0" borderId="0" xfId="0" applyNumberFormat="1"/>
    <xf numFmtId="0" fontId="18" fillId="6" borderId="30" xfId="0" applyFont="1" applyFill="1" applyBorder="1"/>
    <xf numFmtId="0" fontId="18" fillId="0" borderId="29" xfId="0" applyFont="1" applyBorder="1"/>
    <xf numFmtId="0" fontId="18" fillId="6" borderId="29" xfId="0" applyFont="1" applyFill="1" applyBorder="1"/>
    <xf numFmtId="49" fontId="18" fillId="0" borderId="23" xfId="0" applyNumberFormat="1" applyFont="1" applyBorder="1"/>
    <xf numFmtId="49" fontId="19" fillId="0" borderId="22" xfId="0" applyNumberFormat="1" applyFont="1" applyBorder="1" applyAlignment="1">
      <alignment horizontal="center"/>
    </xf>
    <xf numFmtId="49" fontId="19" fillId="0" borderId="30" xfId="0" applyNumberFormat="1" applyFont="1" applyBorder="1"/>
    <xf numFmtId="49" fontId="18" fillId="6" borderId="23" xfId="0" applyNumberFormat="1" applyFont="1" applyFill="1" applyBorder="1"/>
    <xf numFmtId="0" fontId="18" fillId="6" borderId="23" xfId="0" applyFont="1" applyFill="1" applyBorder="1"/>
    <xf numFmtId="0" fontId="19" fillId="0" borderId="32" xfId="0" applyFont="1" applyBorder="1"/>
    <xf numFmtId="49" fontId="18" fillId="0" borderId="0" xfId="0" applyNumberFormat="1" applyFont="1"/>
    <xf numFmtId="49" fontId="19" fillId="0" borderId="33" xfId="0" applyNumberFormat="1" applyFont="1" applyBorder="1" applyAlignment="1">
      <alignment horizontal="center"/>
    </xf>
    <xf numFmtId="49" fontId="19" fillId="0" borderId="32" xfId="0" applyNumberFormat="1" applyFont="1" applyBorder="1"/>
    <xf numFmtId="0" fontId="18" fillId="6" borderId="0" xfId="0" applyFont="1" applyFill="1"/>
    <xf numFmtId="49" fontId="19" fillId="6" borderId="33" xfId="0" applyNumberFormat="1" applyFont="1" applyFill="1" applyBorder="1" applyAlignment="1">
      <alignment horizontal="center"/>
    </xf>
    <xf numFmtId="49" fontId="19" fillId="6" borderId="32" xfId="0" applyNumberFormat="1" applyFont="1" applyFill="1" applyBorder="1"/>
    <xf numFmtId="0" fontId="18" fillId="0" borderId="23" xfId="0" applyFont="1" applyBorder="1"/>
    <xf numFmtId="0" fontId="18" fillId="0" borderId="0" xfId="0" applyFont="1"/>
    <xf numFmtId="49" fontId="19" fillId="0" borderId="0" xfId="0" applyNumberFormat="1" applyFont="1" applyAlignment="1">
      <alignment horizontal="center"/>
    </xf>
    <xf numFmtId="49" fontId="18" fillId="6" borderId="23" xfId="0" applyNumberFormat="1" applyFont="1" applyFill="1" applyBorder="1" applyAlignment="1">
      <alignment horizontal="center"/>
    </xf>
    <xf numFmtId="49" fontId="18" fillId="0" borderId="2" xfId="0" applyNumberFormat="1" applyFont="1" applyBorder="1" applyAlignment="1">
      <alignment horizontal="center"/>
    </xf>
    <xf numFmtId="49" fontId="18" fillId="6" borderId="2" xfId="0" applyNumberFormat="1" applyFont="1" applyFill="1" applyBorder="1" applyAlignment="1">
      <alignment horizontal="center"/>
    </xf>
    <xf numFmtId="49" fontId="18" fillId="7" borderId="23" xfId="0" applyNumberFormat="1" applyFont="1" applyFill="1" applyBorder="1"/>
    <xf numFmtId="49" fontId="18" fillId="8" borderId="0" xfId="0" applyNumberFormat="1" applyFont="1" applyFill="1"/>
    <xf numFmtId="49" fontId="18" fillId="6" borderId="0" xfId="0" applyNumberFormat="1" applyFont="1" applyFill="1"/>
    <xf numFmtId="0" fontId="18" fillId="9" borderId="35" xfId="0" applyFont="1" applyFill="1" applyBorder="1"/>
    <xf numFmtId="10" fontId="7" fillId="4" borderId="36" xfId="0" applyNumberFormat="1" applyFont="1" applyFill="1" applyBorder="1" applyAlignment="1">
      <alignment horizontal="center" vertical="center" shrinkToFit="1"/>
    </xf>
    <xf numFmtId="0" fontId="7" fillId="4" borderId="37" xfId="0" applyFont="1" applyFill="1" applyBorder="1" applyAlignment="1">
      <alignment horizontal="center" vertical="center" shrinkToFit="1"/>
    </xf>
    <xf numFmtId="0" fontId="0" fillId="11" borderId="0" xfId="0" applyFill="1"/>
    <xf numFmtId="49" fontId="19" fillId="12" borderId="38" xfId="0" applyNumberFormat="1" applyFont="1" applyFill="1" applyBorder="1"/>
    <xf numFmtId="49" fontId="19" fillId="12" borderId="39" xfId="0" applyNumberFormat="1" applyFont="1" applyFill="1" applyBorder="1"/>
    <xf numFmtId="0" fontId="0" fillId="0" borderId="40" xfId="0" applyBorder="1"/>
    <xf numFmtId="0" fontId="0" fillId="0" borderId="41" xfId="0" applyBorder="1"/>
    <xf numFmtId="49" fontId="0" fillId="0" borderId="0" xfId="0" applyNumberFormat="1" applyAlignment="1">
      <alignment horizontal="left"/>
    </xf>
    <xf numFmtId="49" fontId="0" fillId="11" borderId="0" xfId="0" applyNumberFormat="1" applyFill="1" applyAlignment="1">
      <alignment horizontal="left"/>
    </xf>
    <xf numFmtId="4" fontId="0" fillId="0" borderId="0" xfId="0" applyNumberFormat="1"/>
    <xf numFmtId="0" fontId="7" fillId="4" borderId="44" xfId="0" applyFont="1" applyFill="1" applyBorder="1" applyAlignment="1">
      <alignment horizontal="center" vertical="center" shrinkToFit="1"/>
    </xf>
    <xf numFmtId="0" fontId="5" fillId="0" borderId="42" xfId="0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left" vertical="center"/>
    </xf>
    <xf numFmtId="0" fontId="5" fillId="0" borderId="45" xfId="0" applyFont="1" applyBorder="1" applyAlignment="1">
      <alignment vertical="center"/>
    </xf>
    <xf numFmtId="0" fontId="0" fillId="0" borderId="0" xfId="0" applyAlignment="1">
      <alignment horizontal="left"/>
    </xf>
    <xf numFmtId="49" fontId="18" fillId="6" borderId="2" xfId="0" applyNumberFormat="1" applyFont="1" applyFill="1" applyBorder="1"/>
    <xf numFmtId="0" fontId="18" fillId="13" borderId="29" xfId="0" applyFont="1" applyFill="1" applyBorder="1"/>
    <xf numFmtId="0" fontId="18" fillId="13" borderId="2" xfId="0" applyFont="1" applyFill="1" applyBorder="1"/>
    <xf numFmtId="0" fontId="18" fillId="0" borderId="2" xfId="0" applyFont="1" applyBorder="1"/>
    <xf numFmtId="49" fontId="19" fillId="12" borderId="0" xfId="0" applyNumberFormat="1" applyFont="1" applyFill="1"/>
    <xf numFmtId="49" fontId="19" fillId="12" borderId="32" xfId="0" applyNumberFormat="1" applyFont="1" applyFill="1" applyBorder="1"/>
    <xf numFmtId="49" fontId="19" fillId="12" borderId="47" xfId="0" applyNumberFormat="1" applyFont="1" applyFill="1" applyBorder="1"/>
    <xf numFmtId="0" fontId="18" fillId="6" borderId="2" xfId="0" applyFont="1" applyFill="1" applyBorder="1"/>
    <xf numFmtId="0" fontId="18" fillId="15" borderId="0" xfId="0" applyFont="1" applyFill="1" applyAlignment="1">
      <alignment horizontal="left"/>
    </xf>
    <xf numFmtId="0" fontId="0" fillId="15" borderId="0" xfId="0" applyFill="1" applyAlignment="1">
      <alignment horizontal="left"/>
    </xf>
    <xf numFmtId="0" fontId="19" fillId="15" borderId="0" xfId="0" applyFont="1" applyFill="1"/>
    <xf numFmtId="0" fontId="0" fillId="15" borderId="0" xfId="0" applyFill="1"/>
    <xf numFmtId="0" fontId="0" fillId="0" borderId="50" xfId="0" applyBorder="1"/>
    <xf numFmtId="0" fontId="18" fillId="0" borderId="0" xfId="0" applyFont="1" applyAlignment="1">
      <alignment horizontal="left" vertical="top"/>
    </xf>
    <xf numFmtId="49" fontId="22" fillId="6" borderId="2" xfId="0" applyNumberFormat="1" applyFont="1" applyFill="1" applyBorder="1" applyAlignment="1">
      <alignment horizontal="center"/>
    </xf>
    <xf numFmtId="0" fontId="5" fillId="0" borderId="0" xfId="0" quotePrefix="1" applyFont="1" applyAlignment="1">
      <alignment vertical="center"/>
    </xf>
    <xf numFmtId="0" fontId="23" fillId="10" borderId="42" xfId="0" applyFont="1" applyFill="1" applyBorder="1" applyAlignment="1">
      <alignment horizontal="center"/>
    </xf>
    <xf numFmtId="0" fontId="23" fillId="0" borderId="42" xfId="0" applyFont="1" applyBorder="1" applyAlignment="1">
      <alignment horizontal="center"/>
    </xf>
    <xf numFmtId="0" fontId="23" fillId="11" borderId="42" xfId="0" applyFont="1" applyFill="1" applyBorder="1" applyAlignment="1">
      <alignment horizontal="center"/>
    </xf>
    <xf numFmtId="0" fontId="24" fillId="0" borderId="0" xfId="0" applyFont="1" applyAlignment="1">
      <alignment horizontal="right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left" vertical="center"/>
    </xf>
    <xf numFmtId="0" fontId="5" fillId="0" borderId="19" xfId="0" applyFont="1" applyBorder="1" applyAlignment="1">
      <alignment horizontal="left" vertical="center"/>
    </xf>
    <xf numFmtId="165" fontId="5" fillId="2" borderId="42" xfId="0" applyNumberFormat="1" applyFont="1" applyFill="1" applyBorder="1" applyAlignment="1">
      <alignment vertical="center"/>
    </xf>
    <xf numFmtId="164" fontId="5" fillId="0" borderId="42" xfId="0" applyNumberFormat="1" applyFont="1" applyBorder="1" applyAlignment="1">
      <alignment horizontal="right" vertical="center"/>
    </xf>
    <xf numFmtId="165" fontId="5" fillId="0" borderId="42" xfId="0" applyNumberFormat="1" applyFont="1" applyBorder="1" applyAlignment="1">
      <alignment horizontal="right" vertical="center"/>
    </xf>
    <xf numFmtId="165" fontId="5" fillId="2" borderId="46" xfId="0" applyNumberFormat="1" applyFont="1" applyFill="1" applyBorder="1" applyAlignment="1">
      <alignment vertical="center"/>
    </xf>
    <xf numFmtId="165" fontId="5" fillId="0" borderId="1" xfId="0" applyNumberFormat="1" applyFont="1" applyBorder="1" applyAlignment="1">
      <alignment vertical="center"/>
    </xf>
    <xf numFmtId="165" fontId="5" fillId="0" borderId="5" xfId="0" applyNumberFormat="1" applyFont="1" applyBorder="1" applyAlignment="1">
      <alignment vertical="center"/>
    </xf>
    <xf numFmtId="165" fontId="6" fillId="3" borderId="4" xfId="0" applyNumberFormat="1" applyFont="1" applyFill="1" applyBorder="1" applyAlignment="1">
      <alignment vertical="center"/>
    </xf>
    <xf numFmtId="165" fontId="5" fillId="0" borderId="19" xfId="0" applyNumberFormat="1" applyFont="1" applyBorder="1" applyAlignment="1">
      <alignment horizontal="right" vertical="center"/>
    </xf>
    <xf numFmtId="165" fontId="5" fillId="2" borderId="19" xfId="0" applyNumberFormat="1" applyFont="1" applyFill="1" applyBorder="1" applyAlignment="1">
      <alignment vertical="center"/>
    </xf>
    <xf numFmtId="165" fontId="5" fillId="2" borderId="2" xfId="0" applyNumberFormat="1" applyFont="1" applyFill="1" applyBorder="1" applyAlignment="1">
      <alignment vertical="center"/>
    </xf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42" fontId="0" fillId="0" borderId="0" xfId="0" applyNumberFormat="1"/>
    <xf numFmtId="165" fontId="19" fillId="0" borderId="32" xfId="0" applyNumberFormat="1" applyFont="1" applyBorder="1"/>
    <xf numFmtId="165" fontId="19" fillId="0" borderId="34" xfId="0" applyNumberFormat="1" applyFont="1" applyBorder="1"/>
    <xf numFmtId="164" fontId="19" fillId="0" borderId="34" xfId="0" applyNumberFormat="1" applyFont="1" applyBorder="1"/>
    <xf numFmtId="165" fontId="19" fillId="0" borderId="31" xfId="0" applyNumberFormat="1" applyFont="1" applyBorder="1"/>
    <xf numFmtId="166" fontId="19" fillId="0" borderId="34" xfId="0" applyNumberFormat="1" applyFont="1" applyBorder="1"/>
    <xf numFmtId="165" fontId="18" fillId="6" borderId="30" xfId="0" applyNumberFormat="1" applyFont="1" applyFill="1" applyBorder="1"/>
    <xf numFmtId="165" fontId="18" fillId="6" borderId="23" xfId="0" applyNumberFormat="1" applyFont="1" applyFill="1" applyBorder="1"/>
    <xf numFmtId="164" fontId="18" fillId="6" borderId="23" xfId="0" applyNumberFormat="1" applyFont="1" applyFill="1" applyBorder="1"/>
    <xf numFmtId="165" fontId="19" fillId="6" borderId="34" xfId="0" applyNumberFormat="1" applyFont="1" applyFill="1" applyBorder="1"/>
    <xf numFmtId="166" fontId="18" fillId="6" borderId="23" xfId="0" applyNumberFormat="1" applyFont="1" applyFill="1" applyBorder="1"/>
    <xf numFmtId="42" fontId="0" fillId="0" borderId="41" xfId="0" applyNumberFormat="1" applyBorder="1"/>
    <xf numFmtId="42" fontId="18" fillId="13" borderId="41" xfId="0" applyNumberFormat="1" applyFont="1" applyFill="1" applyBorder="1"/>
    <xf numFmtId="165" fontId="18" fillId="0" borderId="29" xfId="0" applyNumberFormat="1" applyFont="1" applyBorder="1"/>
    <xf numFmtId="165" fontId="18" fillId="0" borderId="0" xfId="0" applyNumberFormat="1" applyFont="1"/>
    <xf numFmtId="164" fontId="18" fillId="0" borderId="0" xfId="0" applyNumberFormat="1" applyFont="1"/>
    <xf numFmtId="165" fontId="18" fillId="0" borderId="23" xfId="0" applyNumberFormat="1" applyFont="1" applyBorder="1"/>
    <xf numFmtId="166" fontId="18" fillId="0" borderId="0" xfId="0" applyNumberFormat="1" applyFont="1"/>
    <xf numFmtId="42" fontId="18" fillId="0" borderId="41" xfId="0" applyNumberFormat="1" applyFont="1" applyBorder="1"/>
    <xf numFmtId="165" fontId="18" fillId="6" borderId="29" xfId="0" applyNumberFormat="1" applyFont="1" applyFill="1" applyBorder="1"/>
    <xf numFmtId="164" fontId="18" fillId="6" borderId="0" xfId="0" applyNumberFormat="1" applyFont="1" applyFill="1"/>
    <xf numFmtId="166" fontId="18" fillId="6" borderId="0" xfId="0" applyNumberFormat="1" applyFont="1" applyFill="1"/>
    <xf numFmtId="165" fontId="22" fillId="6" borderId="29" xfId="0" applyNumberFormat="1" applyFont="1" applyFill="1" applyBorder="1"/>
    <xf numFmtId="49" fontId="5" fillId="0" borderId="42" xfId="0" applyNumberFormat="1" applyFont="1" applyBorder="1" applyAlignment="1">
      <alignment horizontal="center" vertical="center"/>
    </xf>
    <xf numFmtId="49" fontId="23" fillId="0" borderId="42" xfId="0" applyNumberFormat="1" applyFont="1" applyBorder="1" applyAlignment="1">
      <alignment horizontal="center"/>
    </xf>
    <xf numFmtId="0" fontId="23" fillId="14" borderId="42" xfId="0" applyFont="1" applyFill="1" applyBorder="1" applyAlignment="1">
      <alignment horizontal="center"/>
    </xf>
    <xf numFmtId="0" fontId="0" fillId="0" borderId="42" xfId="0" applyBorder="1"/>
    <xf numFmtId="0" fontId="0" fillId="0" borderId="42" xfId="0" applyBorder="1" applyAlignment="1">
      <alignment horizontal="center"/>
    </xf>
    <xf numFmtId="0" fontId="5" fillId="0" borderId="42" xfId="0" applyFont="1" applyBorder="1" applyAlignment="1">
      <alignment horizontal="center"/>
    </xf>
    <xf numFmtId="164" fontId="5" fillId="0" borderId="42" xfId="0" applyNumberFormat="1" applyFont="1" applyBorder="1"/>
    <xf numFmtId="0" fontId="0" fillId="0" borderId="53" xfId="0" applyBorder="1"/>
    <xf numFmtId="0" fontId="0" fillId="0" borderId="54" xfId="0" applyBorder="1"/>
    <xf numFmtId="164" fontId="0" fillId="0" borderId="42" xfId="0" applyNumberFormat="1" applyBorder="1"/>
    <xf numFmtId="0" fontId="5" fillId="0" borderId="42" xfId="0" applyFont="1" applyBorder="1" applyAlignment="1">
      <alignment horizontal="left" vertical="center"/>
    </xf>
    <xf numFmtId="0" fontId="0" fillId="0" borderId="42" xfId="0" applyBorder="1"/>
    <xf numFmtId="0" fontId="16" fillId="0" borderId="0" xfId="0" applyFont="1" applyAlignment="1">
      <alignment horizontal="center" wrapText="1"/>
    </xf>
    <xf numFmtId="0" fontId="0" fillId="0" borderId="0" xfId="0"/>
    <xf numFmtId="0" fontId="7" fillId="4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11" borderId="0" xfId="0" quotePrefix="1" applyFont="1" applyFill="1" applyAlignment="1">
      <alignment horizontal="left" vertical="center" wrapText="1"/>
    </xf>
    <xf numFmtId="10" fontId="7" fillId="4" borderId="37" xfId="0" applyNumberFormat="1" applyFont="1" applyFill="1" applyBorder="1" applyAlignment="1">
      <alignment horizontal="center" vertical="center" shrinkToFit="1"/>
    </xf>
    <xf numFmtId="0" fontId="0" fillId="0" borderId="37" xfId="0" applyBorder="1"/>
    <xf numFmtId="0" fontId="5" fillId="0" borderId="42" xfId="0" applyFont="1" applyBorder="1" applyAlignment="1">
      <alignment horizontal="left" vertical="top" wrapText="1"/>
    </xf>
    <xf numFmtId="0" fontId="5" fillId="0" borderId="42" xfId="0" applyFont="1" applyBorder="1" applyAlignment="1">
      <alignment vertical="top" wrapText="1"/>
    </xf>
    <xf numFmtId="0" fontId="5" fillId="0" borderId="42" xfId="0" applyFont="1" applyBorder="1" applyAlignment="1">
      <alignment horizontal="left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0" xfId="0" applyAlignment="1">
      <alignment horizontal="center" vertical="center"/>
    </xf>
    <xf numFmtId="0" fontId="8" fillId="5" borderId="6" xfId="0" applyFont="1" applyFill="1" applyBorder="1" applyAlignment="1">
      <alignment horizontal="left" vertical="center"/>
    </xf>
    <xf numFmtId="0" fontId="0" fillId="0" borderId="7" xfId="0" applyBorder="1"/>
    <xf numFmtId="0" fontId="0" fillId="0" borderId="8" xfId="0" applyBorder="1"/>
    <xf numFmtId="0" fontId="5" fillId="0" borderId="6" xfId="0" applyFont="1" applyBorder="1" applyAlignment="1">
      <alignment horizontal="center" vertical="center" wrapText="1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5" fillId="0" borderId="0" xfId="0" applyFont="1" applyAlignment="1">
      <alignment horizontal="center" vertical="center"/>
    </xf>
    <xf numFmtId="0" fontId="5" fillId="0" borderId="43" xfId="0" applyFont="1" applyBorder="1" applyAlignment="1">
      <alignment horizontal="left" vertical="center"/>
    </xf>
    <xf numFmtId="0" fontId="5" fillId="0" borderId="48" xfId="0" applyFont="1" applyBorder="1" applyAlignment="1">
      <alignment horizontal="left" vertical="center"/>
    </xf>
    <xf numFmtId="0" fontId="5" fillId="0" borderId="49" xfId="0" applyFont="1" applyBorder="1" applyAlignment="1">
      <alignment horizontal="left" vertical="center"/>
    </xf>
    <xf numFmtId="0" fontId="0" fillId="0" borderId="57" xfId="0" applyBorder="1" applyAlignment="1">
      <alignment horizontal="center" vertical="center"/>
    </xf>
    <xf numFmtId="0" fontId="8" fillId="5" borderId="56" xfId="0" applyFont="1" applyFill="1" applyBorder="1" applyAlignment="1">
      <alignment horizontal="left" vertical="center"/>
    </xf>
    <xf numFmtId="0" fontId="8" fillId="5" borderId="7" xfId="0" applyFont="1" applyFill="1" applyBorder="1" applyAlignment="1">
      <alignment horizontal="left" vertical="center"/>
    </xf>
    <xf numFmtId="0" fontId="8" fillId="5" borderId="8" xfId="0" applyFont="1" applyFill="1" applyBorder="1" applyAlignment="1">
      <alignment horizontal="left" vertical="center"/>
    </xf>
    <xf numFmtId="0" fontId="5" fillId="0" borderId="55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left" vertical="top" wrapText="1"/>
    </xf>
    <xf numFmtId="0" fontId="5" fillId="0" borderId="48" xfId="0" applyFont="1" applyBorder="1" applyAlignment="1">
      <alignment horizontal="left" vertical="top" wrapText="1"/>
    </xf>
    <xf numFmtId="0" fontId="5" fillId="0" borderId="49" xfId="0" applyFont="1" applyBorder="1" applyAlignment="1">
      <alignment horizontal="left" vertical="top" wrapText="1"/>
    </xf>
    <xf numFmtId="10" fontId="7" fillId="4" borderId="58" xfId="0" applyNumberFormat="1" applyFont="1" applyFill="1" applyBorder="1" applyAlignment="1">
      <alignment horizontal="center" vertical="center" shrinkToFit="1"/>
    </xf>
    <xf numFmtId="0" fontId="5" fillId="0" borderId="43" xfId="0" applyFont="1" applyBorder="1" applyAlignment="1">
      <alignment vertical="top" wrapText="1"/>
    </xf>
    <xf numFmtId="0" fontId="5" fillId="0" borderId="48" xfId="0" applyFont="1" applyBorder="1" applyAlignment="1">
      <alignment vertical="top" wrapText="1"/>
    </xf>
    <xf numFmtId="0" fontId="5" fillId="0" borderId="49" xfId="0" applyFont="1" applyBorder="1" applyAlignment="1">
      <alignment vertical="top" wrapText="1"/>
    </xf>
    <xf numFmtId="0" fontId="5" fillId="0" borderId="43" xfId="0" applyFont="1" applyBorder="1" applyAlignment="1">
      <alignment horizontal="left"/>
    </xf>
    <xf numFmtId="0" fontId="5" fillId="0" borderId="48" xfId="0" applyFont="1" applyBorder="1" applyAlignment="1">
      <alignment horizontal="left"/>
    </xf>
    <xf numFmtId="0" fontId="5" fillId="0" borderId="49" xfId="0" applyFont="1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2" xfId="0" applyBorder="1"/>
    <xf numFmtId="0" fontId="5" fillId="0" borderId="19" xfId="0" applyFont="1" applyBorder="1" applyAlignment="1">
      <alignment horizontal="left" vertical="center"/>
    </xf>
    <xf numFmtId="0" fontId="0" fillId="0" borderId="20" xfId="0" applyBorder="1"/>
    <xf numFmtId="0" fontId="0" fillId="0" borderId="21" xfId="0" applyBorder="1"/>
    <xf numFmtId="10" fontId="7" fillId="4" borderId="17" xfId="0" applyNumberFormat="1" applyFont="1" applyFill="1" applyBorder="1" applyAlignment="1">
      <alignment horizontal="center" vertical="center" shrinkToFit="1"/>
    </xf>
    <xf numFmtId="0" fontId="0" fillId="0" borderId="17" xfId="0" applyBorder="1"/>
    <xf numFmtId="0" fontId="5" fillId="0" borderId="21" xfId="0" applyFont="1" applyBorder="1" applyAlignment="1">
      <alignment horizontal="left" vertical="center"/>
    </xf>
    <xf numFmtId="10" fontId="17" fillId="4" borderId="51" xfId="0" applyNumberFormat="1" applyFont="1" applyFill="1" applyBorder="1" applyAlignment="1">
      <alignment horizontal="center" vertical="center" shrinkToFit="1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10" fontId="17" fillId="4" borderId="52" xfId="0" applyNumberFormat="1" applyFont="1" applyFill="1" applyBorder="1" applyAlignment="1">
      <alignment horizontal="center" vertical="center" shrinkToFit="1"/>
    </xf>
    <xf numFmtId="0" fontId="0" fillId="0" borderId="33" xfId="0" applyBorder="1"/>
    <xf numFmtId="0" fontId="0" fillId="0" borderId="28" xfId="0" applyBorder="1"/>
  </cellXfs>
  <cellStyles count="3">
    <cellStyle name="Comma" xfId="1" builtinId="3"/>
    <cellStyle name="Hyperlink" xfId="2" builtinId="8"/>
    <cellStyle name="Normal" xfId="0" builtinId="0"/>
  </cellStyles>
  <dxfs count="41">
    <dxf>
      <border outline="0">
        <left style="thin">
          <color indexed="64"/>
        </left>
        <top style="medium">
          <color indexed="64"/>
        </top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Trebuchet MS"/>
      </font>
      <numFmt numFmtId="30" formatCode="@"/>
      <fill>
        <patternFill patternType="solid">
          <fgColor theme="4"/>
          <bgColor theme="4"/>
        </patternFill>
      </fill>
    </dxf>
    <dxf>
      <border outline="0">
        <left style="thin">
          <color indexed="64"/>
        </left>
        <top style="medium">
          <color indexed="64"/>
        </top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Trebuchet MS"/>
      </font>
      <numFmt numFmtId="30" formatCode="@"/>
      <fill>
        <patternFill patternType="solid">
          <fgColor theme="4"/>
          <bgColor theme="4"/>
        </patternFill>
      </fill>
    </dxf>
    <dxf>
      <border outline="0">
        <left style="thin">
          <color indexed="64"/>
        </left>
        <top style="medium">
          <color indexed="64"/>
        </top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Trebuchet MS"/>
      </font>
      <numFmt numFmtId="30" formatCode="@"/>
      <fill>
        <patternFill patternType="solid">
          <fgColor theme="4"/>
          <bgColor theme="4"/>
        </patternFill>
      </fill>
    </dxf>
    <dxf>
      <font>
        <strike val="0"/>
        <condense val="0"/>
        <extend val="0"/>
        <outline val="0"/>
        <shadow val="0"/>
        <vertAlign val="baseline"/>
        <sz val="10"/>
        <color theme="1"/>
        <name val="Trebuchet MS"/>
      </font>
      <numFmt numFmtId="165" formatCode="&quot;$&quot;#,##0"/>
      <fill>
        <patternFill patternType="solid">
          <fgColor theme="0" tint="-0.14999847407452621"/>
          <bgColor theme="0" tint="-0.14999847407452621"/>
        </patternFill>
      </fill>
      <border>
        <left/>
        <right/>
        <top style="medium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Trebuchet MS"/>
      </font>
      <numFmt numFmtId="30" formatCode="@"/>
      <fill>
        <patternFill patternType="solid">
          <fgColor theme="0" tint="-0.14999847407452621"/>
          <bgColor theme="0" tint="-0.14999847407452621"/>
        </patternFill>
      </fill>
      <border>
        <left/>
        <right/>
        <top style="medium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Trebuchet MS"/>
      </font>
      <numFmt numFmtId="30" formatCode="@"/>
      <fill>
        <patternFill patternType="solid">
          <fgColor theme="0" tint="-0.14999847407452621"/>
          <bgColor theme="0" tint="-0.14999847407452621"/>
        </patternFill>
      </fill>
      <border>
        <left/>
        <right/>
        <top style="medium">
          <color indexed="64"/>
        </top>
        <bottom/>
        <vertical/>
        <horizontal/>
      </border>
    </dxf>
    <dxf>
      <border outline="0">
        <top style="medium">
          <color indexed="64"/>
        </top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Trebuchet MS"/>
      </font>
      <fill>
        <patternFill patternType="solid">
          <fgColor theme="0" tint="-0.14999847407452621"/>
          <bgColor theme="0" tint="-0.14999847407452621"/>
        </patternFill>
      </fill>
    </dxf>
    <dxf>
      <numFmt numFmtId="32" formatCode="_ &quot;$&quot;* #,##0_ ;_ &quot;$&quot;* \-#,##0_ ;_ &quot;$&quot;* &quot;-&quot;_ ;_ @_ "/>
      <border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medium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Trebuchet MS"/>
      </font>
      <numFmt numFmtId="30" formatCode="@"/>
      <fill>
        <patternFill patternType="solid">
          <fgColor theme="4"/>
          <bgColor theme="4"/>
        </patternFill>
      </fill>
      <border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</dxf>
    <dxf>
      <border outline="0">
        <top style="medium">
          <color indexed="64"/>
        </top>
        <bottom style="thin">
          <color theme="1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Trebuchet MS"/>
      </font>
      <numFmt numFmtId="164" formatCode="&quot;$&quot;#,##0.00"/>
      <fill>
        <patternFill patternType="solid">
          <fgColor theme="0" tint="-0.14999847407452621"/>
          <bgColor theme="0" tint="-0.14999847407452621"/>
        </patternFill>
      </fill>
    </dxf>
    <dxf>
      <font>
        <strike val="0"/>
        <condense val="0"/>
        <extend val="0"/>
        <outline val="0"/>
        <shadow val="0"/>
        <vertAlign val="baseline"/>
        <sz val="10"/>
        <color theme="1"/>
        <name val="Trebuchet MS"/>
      </font>
      <fill>
        <patternFill patternType="solid">
          <fgColor theme="0" tint="-0.14999847407452621"/>
          <bgColor theme="0" tint="-0.14999847407452621"/>
        </patternFill>
      </fill>
    </dxf>
    <dxf>
      <font>
        <strike val="0"/>
        <condense val="0"/>
        <extend val="0"/>
        <outline val="0"/>
        <shadow val="0"/>
        <vertAlign val="baseline"/>
        <sz val="10"/>
        <color theme="1"/>
        <name val="Trebuchet MS"/>
      </font>
      <numFmt numFmtId="30" formatCode="@"/>
      <fill>
        <patternFill patternType="solid">
          <fgColor theme="0" tint="-0.14999847407452621"/>
          <bgColor theme="0" tint="-0.14999847407452621"/>
        </patternFill>
      </fill>
    </dxf>
    <dxf>
      <border outline="0">
        <top style="medium">
          <color indexed="64"/>
        </top>
        <bottom style="thin">
          <color theme="1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Trebuchet MS"/>
      </font>
      <numFmt numFmtId="166" formatCode="&quot;$&quot;#,##0.0"/>
    </dxf>
    <dxf>
      <font>
        <strike val="0"/>
        <condense val="0"/>
        <extend val="0"/>
        <outline val="0"/>
        <shadow val="0"/>
        <vertAlign val="baseline"/>
        <sz val="10"/>
        <color theme="1"/>
        <name val="Trebuchet MS"/>
      </font>
    </dxf>
    <dxf>
      <font>
        <strike val="0"/>
        <condense val="0"/>
        <extend val="0"/>
        <outline val="0"/>
        <shadow val="0"/>
        <vertAlign val="baseline"/>
        <sz val="10"/>
        <color theme="1"/>
        <name val="Trebuchet MS"/>
      </font>
      <numFmt numFmtId="30" formatCode="@"/>
    </dxf>
    <dxf>
      <border outline="0">
        <top style="medium">
          <color indexed="64"/>
        </top>
        <bottom style="thin">
          <color theme="1"/>
        </bottom>
      </border>
    </dxf>
    <dxf>
      <numFmt numFmtId="30" formatCode="@"/>
      <fill>
        <patternFill>
          <bgColor theme="8"/>
        </patternFill>
      </fill>
    </dxf>
    <dxf>
      <border outline="0">
        <top style="medium">
          <color indexed="64"/>
        </top>
        <bottom style="thin">
          <color theme="1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Trebuchet MS"/>
      </font>
      <numFmt numFmtId="165" formatCode="&quot;$&quot;#,##0"/>
      <border>
        <left/>
        <right/>
        <top style="medium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Trebuchet MS"/>
      </font>
      <border outline="0">
        <left/>
        <right/>
        <top style="medium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Trebuchet MS"/>
      </font>
      <numFmt numFmtId="30" formatCode="@"/>
      <border outline="0">
        <left/>
        <right/>
        <top style="medium">
          <color indexed="64"/>
        </top>
        <bottom/>
      </border>
    </dxf>
    <dxf>
      <border outline="0">
        <top style="medium">
          <color indexed="64"/>
        </top>
        <bottom style="thin">
          <color theme="1"/>
        </bottom>
      </border>
    </dxf>
    <dxf>
      <border outline="0">
        <top style="medium">
          <color indexed="64"/>
        </top>
        <bottom style="thin">
          <color theme="1"/>
        </bottom>
      </border>
    </dxf>
    <dxf>
      <numFmt numFmtId="30" formatCode="@"/>
    </dxf>
    <dxf>
      <border outline="0">
        <top style="medium">
          <color indexed="64"/>
        </top>
        <bottom style="thin">
          <color theme="1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Trebuchet MS"/>
      </font>
      <numFmt numFmtId="165" formatCode="&quot;$&quot;#,##0"/>
      <fill>
        <patternFill patternType="solid">
          <fgColor theme="0" tint="-0.14999847407452621"/>
          <bgColor theme="0" tint="-0.14999847407452621"/>
        </patternFill>
      </fill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Trebuchet MS"/>
      </font>
      <fill>
        <patternFill patternType="solid">
          <fgColor theme="0" tint="-0.14999847407452621"/>
          <bgColor theme="0" tint="-0.14999847407452621"/>
        </patternFill>
      </fill>
      <border outline="0">
        <left/>
        <right/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Trebuchet MS"/>
      </font>
      <numFmt numFmtId="30" formatCode="@"/>
      <fill>
        <patternFill patternType="solid">
          <fgColor theme="0" tint="-0.14999847407452621"/>
          <bgColor theme="0" tint="-0.14999847407452621"/>
        </patternFill>
      </fill>
      <alignment horizontal="center" vertical="bottom"/>
      <border outline="0">
        <left/>
        <right/>
        <top style="thin">
          <color indexed="64"/>
        </top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638175</xdr:colOff>
      <xdr:row>1</xdr:row>
      <xdr:rowOff>85021</xdr:rowOff>
    </xdr:from>
    <xdr:to>
      <xdr:col>8</xdr:col>
      <xdr:colOff>507406</xdr:colOff>
      <xdr:row>4</xdr:row>
      <xdr:rowOff>100294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91225" y="275521"/>
          <a:ext cx="1498006" cy="586773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59732</xdr:colOff>
      <xdr:row>2</xdr:row>
      <xdr:rowOff>1587</xdr:rowOff>
    </xdr:from>
    <xdr:to>
      <xdr:col>9</xdr:col>
      <xdr:colOff>47625</xdr:colOff>
      <xdr:row>4</xdr:row>
      <xdr:rowOff>83342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412782" y="382587"/>
          <a:ext cx="2559643" cy="462755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47825</xdr:colOff>
      <xdr:row>1</xdr:row>
      <xdr:rowOff>168275</xdr:rowOff>
    </xdr:from>
    <xdr:to>
      <xdr:col>7</xdr:col>
      <xdr:colOff>35718</xdr:colOff>
      <xdr:row>4</xdr:row>
      <xdr:rowOff>59530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798294" y="358775"/>
          <a:ext cx="2559643" cy="462755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59732</xdr:colOff>
      <xdr:row>2</xdr:row>
      <xdr:rowOff>1587</xdr:rowOff>
    </xdr:from>
    <xdr:to>
      <xdr:col>8</xdr:col>
      <xdr:colOff>47625</xdr:colOff>
      <xdr:row>4</xdr:row>
      <xdr:rowOff>83342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596013" y="382587"/>
          <a:ext cx="2559643" cy="462755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59732</xdr:colOff>
      <xdr:row>2</xdr:row>
      <xdr:rowOff>1587</xdr:rowOff>
    </xdr:from>
    <xdr:to>
      <xdr:col>7</xdr:col>
      <xdr:colOff>857250</xdr:colOff>
      <xdr:row>4</xdr:row>
      <xdr:rowOff>83342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584107" y="382587"/>
          <a:ext cx="2559643" cy="462755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236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73152" tIns="68580" rIns="73152" bIns="0" anchor="ctr" upright="1"/>
            <a:lstStyle/>
            <a:p>
              <a:pPr algn="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Trebuchet MS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0</xdr:row>
          <xdr:rowOff>9525</xdr:rowOff>
        </xdr:from>
        <xdr:to>
          <xdr:col>6</xdr:col>
          <xdr:colOff>180975</xdr:colOff>
          <xdr:row>1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rebuchet MS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0" displayName="Tabla10" ref="A5:C48" totalsRowShown="0" tableBorderDxfId="40">
  <autoFilter ref="A5:C48" xr:uid="{00000000-0009-0000-0100-000001000000}"/>
  <tableColumns count="3">
    <tableColumn id="1" xr3:uid="{00000000-0010-0000-0000-000001000000}" name="CÓDIGO" dataDxfId="39"/>
    <tableColumn id="2" xr3:uid="{00000000-0010-0000-0000-000002000000}" name="DESCRIPCIÓN" dataDxfId="38"/>
    <tableColumn id="3" xr3:uid="{00000000-0010-0000-0000-000003000000}" name="VALOR NETO" dataDxfId="3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11" displayName="Tabla11" ref="E5:G15" totalsRowShown="0" tableBorderDxfId="36">
  <autoFilter ref="E5:G15" xr:uid="{00000000-0009-0000-0100-000002000000}"/>
  <tableColumns count="3">
    <tableColumn id="1" xr3:uid="{00000000-0010-0000-0100-000001000000}" name="CÓDIGO" dataDxfId="35"/>
    <tableColumn id="2" xr3:uid="{00000000-0010-0000-0100-000002000000}" name="DESCRIPCIÓN"/>
    <tableColumn id="3" xr3:uid="{00000000-0010-0000-0100-000003000000}" name="VALOR NET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12" displayName="Tabla12" ref="I5:K8" totalsRowShown="0" tableBorderDxfId="34">
  <autoFilter ref="I5:K8" xr:uid="{00000000-0009-0000-0100-000003000000}"/>
  <tableColumns count="3">
    <tableColumn id="1" xr3:uid="{00000000-0010-0000-0200-000001000000}" name="CÓDIGO"/>
    <tableColumn id="2" xr3:uid="{00000000-0010-0000-0200-000002000000}" name="DESCRIPCIÓN"/>
    <tableColumn id="3" xr3:uid="{00000000-0010-0000-0200-000003000000}" name="VALOR NET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13" displayName="Tabla13" ref="M6:O7" totalsRowShown="0" tableBorderDxfId="33">
  <autoFilter ref="M6:O7" xr:uid="{00000000-0009-0000-0100-000004000000}"/>
  <tableColumns count="3">
    <tableColumn id="1" xr3:uid="{00000000-0010-0000-0300-000001000000}" name="CÓDIGO" dataDxfId="32"/>
    <tableColumn id="2" xr3:uid="{00000000-0010-0000-0300-000002000000}" name="DESCRIPCIÓN" dataDxfId="31"/>
    <tableColumn id="3" xr3:uid="{00000000-0010-0000-0300-000003000000}" name="VALOR NETO" dataDxfId="3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14" displayName="Tabla14" ref="Q5:S7" totalsRowShown="0" tableBorderDxfId="29">
  <autoFilter ref="Q5:S7" xr:uid="{00000000-0009-0000-0100-000005000000}"/>
  <tableColumns count="3">
    <tableColumn id="1" xr3:uid="{00000000-0010-0000-0400-000001000000}" name="CÓDIGO" dataDxfId="28"/>
    <tableColumn id="2" xr3:uid="{00000000-0010-0000-0400-000002000000}" name="DESCRIPCIÓN"/>
    <tableColumn id="3" xr3:uid="{00000000-0010-0000-0400-000003000000}" name="VALOR NET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15" displayName="Tabla15" ref="U5:W12" totalsRowShown="0" tableBorderDxfId="27">
  <autoFilter ref="U5:W12" xr:uid="{00000000-0009-0000-0100-000006000000}"/>
  <tableColumns count="3">
    <tableColumn id="1" xr3:uid="{00000000-0010-0000-0500-000001000000}" name="CÓDIGO" dataDxfId="26"/>
    <tableColumn id="2" xr3:uid="{00000000-0010-0000-0500-000002000000}" name="DESCRIPCIÓN" dataDxfId="25"/>
    <tableColumn id="3" xr3:uid="{00000000-0010-0000-0500-000003000000}" name="VALOR NETO" dataDxfId="2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a16" displayName="Tabla16" ref="Y5:AA24" totalsRowShown="0" tableBorderDxfId="23">
  <autoFilter ref="Y5:AA24" xr:uid="{00000000-0009-0000-0100-000007000000}"/>
  <tableColumns count="3">
    <tableColumn id="1" xr3:uid="{00000000-0010-0000-0600-000001000000}" name="CÓDIGO" dataDxfId="22"/>
    <tableColumn id="2" xr3:uid="{00000000-0010-0000-0600-000002000000}" name="DESCRIPCIÓN" dataDxfId="21"/>
    <tableColumn id="3" xr3:uid="{00000000-0010-0000-0600-000003000000}" name="VALOR NETO" dataDxfId="2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a17" displayName="Tabla17" ref="AC5:AE7" totalsRowShown="0" tableBorderDxfId="19">
  <autoFilter ref="AC5:AE7" xr:uid="{00000000-0009-0000-0100-000008000000}"/>
  <tableColumns count="3">
    <tableColumn id="1" xr3:uid="{00000000-0010-0000-0700-000001000000}" name="CÓDIGO" dataDxfId="18"/>
    <tableColumn id="2" xr3:uid="{00000000-0010-0000-0700-000002000000}" name="DESCRIPCIÓN"/>
    <tableColumn id="3" xr3:uid="{00000000-0010-0000-0700-000003000000}" name="VALOR NETO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a1" displayName="Tabla1" ref="AG5:AI6" totalsRowShown="0" headerRowDxfId="17" headerRowBorderDxfId="16" tableBorderDxfId="15" totalsRowBorderDxfId="14">
  <autoFilter ref="AG5:AI6" xr:uid="{00000000-0009-0000-0100-000009000000}"/>
  <tableColumns count="3">
    <tableColumn id="1" xr3:uid="{00000000-0010-0000-0800-000001000000}" name="CÓDIGO" dataDxfId="13"/>
    <tableColumn id="2" xr3:uid="{00000000-0010-0000-0800-000002000000}" name="DESCRIPCIÓN" dataDxfId="12"/>
    <tableColumn id="3" xr3:uid="{00000000-0010-0000-0800-000003000000}" name="VALOR NETO" dataDxfId="1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a3" displayName="Tabla3" ref="AK5:AM9" totalsRowShown="0" dataDxfId="10" tableBorderDxfId="9">
  <autoFilter ref="AK5:AM9" xr:uid="{00000000-0009-0000-0100-00000A000000}"/>
  <tableColumns count="3">
    <tableColumn id="1" xr3:uid="{00000000-0010-0000-0900-000001000000}" name="CÓDIGO" dataDxfId="8"/>
    <tableColumn id="2" xr3:uid="{00000000-0010-0000-0900-000002000000}" name="DESCRIPCIÓN" dataDxfId="7"/>
    <tableColumn id="3" xr3:uid="{00000000-0010-0000-0900-000003000000}" name="VALOR NETO" dataDxfId="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a7" displayName="Tabla7" ref="AO5:AQ8" totalsRowShown="0" headerRowDxfId="5" tableBorderDxfId="4">
  <autoFilter ref="AO5:AQ8" xr:uid="{00000000-0009-0000-0100-00000B000000}"/>
  <tableColumns count="3">
    <tableColumn id="1" xr3:uid="{00000000-0010-0000-0A00-000001000000}" name="CÓDIGO"/>
    <tableColumn id="2" xr3:uid="{00000000-0010-0000-0A00-000002000000}" name="DESCRIPCIÓN"/>
    <tableColumn id="3" xr3:uid="{00000000-0010-0000-0A00-000003000000}" name="VALOR NETO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a5" displayName="Tabla5" ref="AS5:AU14" totalsRowShown="0" headerRowDxfId="3" tableBorderDxfId="2">
  <autoFilter ref="AS5:AU14" xr:uid="{00000000-0009-0000-0100-00000C000000}"/>
  <tableColumns count="3">
    <tableColumn id="1" xr3:uid="{00000000-0010-0000-0B00-000001000000}" name="CÓDIGO"/>
    <tableColumn id="2" xr3:uid="{00000000-0010-0000-0B00-000002000000}" name="DESCRIPCIÓN"/>
    <tableColumn id="3" xr3:uid="{00000000-0010-0000-0B00-000003000000}" name="VALOR NETO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a55" displayName="Tabla55" ref="AW5:AY14" totalsRowShown="0" headerRowDxfId="1" tableBorderDxfId="0">
  <autoFilter ref="AW5:AY14" xr:uid="{00000000-0009-0000-0100-00000D000000}"/>
  <tableColumns count="3">
    <tableColumn id="1" xr3:uid="{00000000-0010-0000-0C00-000001000000}" name="CÓDIGO"/>
    <tableColumn id="2" xr3:uid="{00000000-0010-0000-0C00-000002000000}" name="DESCRIPCIÓN"/>
    <tableColumn id="3" xr3:uid="{00000000-0010-0000-0C00-000003000000}" name="VALOR NETO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empresas" displayName="empresas" ref="A2:G20" totalsRowShown="0">
  <autoFilter ref="A2:G20" xr:uid="{00000000-0009-0000-0100-00000E000000}"/>
  <tableColumns count="7">
    <tableColumn id="1" xr3:uid="{00000000-0010-0000-0D00-000001000000}" name="empresa"/>
    <tableColumn id="2" xr3:uid="{00000000-0010-0000-0D00-000002000000}" name="vendedor"/>
    <tableColumn id="3" xr3:uid="{00000000-0010-0000-0D00-000003000000}" name="RUT"/>
    <tableColumn id="4" xr3:uid="{00000000-0010-0000-0D00-000004000000}" name="dirección"/>
    <tableColumn id="5" xr3:uid="{00000000-0010-0000-0D00-000005000000}" name="ubicación"/>
    <tableColumn id="6" xr3:uid="{00000000-0010-0000-0D00-000006000000}" name="Numero contacto"/>
    <tableColumn id="7" xr3:uid="{00000000-0010-0000-0D00-000007000000}" name="correo electrónico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Vertex42">
  <a:themeElements>
    <a:clrScheme name="V42-ClassicBlue">
      <a:dk1>
        <a:sysClr val="windowText" lastClr="000000"/>
      </a:dk1>
      <a:lt1>
        <a:sysClr val="window" lastClr="FFFFFF"/>
      </a:lt1>
      <a:dk2>
        <a:srgbClr val="3A5D9C"/>
      </a:dk2>
      <a:lt2>
        <a:srgbClr val="EEECE2"/>
      </a:lt2>
      <a:accent1>
        <a:srgbClr val="3B4E87"/>
      </a:accent1>
      <a:accent2>
        <a:srgbClr val="C04E4E"/>
      </a:accent2>
      <a:accent3>
        <a:srgbClr val="3D8A16"/>
      </a:accent3>
      <a:accent4>
        <a:srgbClr val="7860B4"/>
      </a:accent4>
      <a:accent5>
        <a:srgbClr val="E68422"/>
      </a:accent5>
      <a:accent6>
        <a:srgbClr val="846648"/>
      </a:accent6>
      <a:hlink>
        <a:srgbClr val="4C92AE"/>
      </a:hlink>
      <a:folHlink>
        <a:srgbClr val="969696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arias@ebema.c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arias@ebema.c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aster_jose17@hotmail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arias@ebema.cl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arias@ebema.cl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ctrlProp" Target="../ctrlProps/ctrlProp2.x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vmlDrawing" Target="../drawings/vmlDrawing2.vml"/><Relationship Id="rId16" Type="http://schemas.openxmlformats.org/officeDocument/2006/relationships/table" Target="../tables/table13.xml"/><Relationship Id="rId1" Type="http://schemas.openxmlformats.org/officeDocument/2006/relationships/drawing" Target="../drawings/drawing7.xml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table" Target="../tables/table1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7">
    <pageSetUpPr fitToPage="1"/>
  </sheetPr>
  <dimension ref="A5:M49"/>
  <sheetViews>
    <sheetView showGridLines="0" tabSelected="1" view="pageBreakPreview" zoomScaleNormal="100" zoomScaleSheetLayoutView="100" workbookViewId="0">
      <selection activeCell="K12" sqref="K12"/>
    </sheetView>
  </sheetViews>
  <sheetFormatPr defaultColWidth="8.85546875" defaultRowHeight="15" x14ac:dyDescent="0.3"/>
  <cols>
    <col min="1" max="1" width="8.85546875" customWidth="1"/>
    <col min="2" max="2" width="16.7109375" customWidth="1"/>
    <col min="3" max="3" width="11.42578125" customWidth="1"/>
    <col min="4" max="4" width="11.28515625" customWidth="1"/>
    <col min="5" max="5" width="20.28515625" customWidth="1"/>
    <col min="6" max="7" width="11.7109375" customWidth="1"/>
    <col min="8" max="8" width="12.7109375" customWidth="1"/>
    <col min="9" max="11" width="14.140625" customWidth="1"/>
    <col min="12" max="12" width="6.42578125" customWidth="1"/>
    <col min="13" max="13" width="24.140625" customWidth="1"/>
    <col min="14" max="15" width="8.85546875" customWidth="1"/>
  </cols>
  <sheetData>
    <row r="5" spans="2:9" ht="33.75" customHeight="1" x14ac:dyDescent="0.45">
      <c r="B5" s="143" t="s">
        <v>0</v>
      </c>
      <c r="C5" s="144"/>
      <c r="D5" s="144"/>
      <c r="E5" s="27"/>
      <c r="F5" s="27"/>
      <c r="G5" s="27"/>
      <c r="H5" s="28"/>
      <c r="I5" s="91" t="s">
        <v>1</v>
      </c>
    </row>
    <row r="6" spans="2:9" x14ac:dyDescent="0.3">
      <c r="B6" s="23" t="s">
        <v>2</v>
      </c>
      <c r="C6" s="23"/>
      <c r="D6" s="23"/>
      <c r="E6" s="23"/>
      <c r="F6" s="23"/>
      <c r="G6" s="23"/>
      <c r="H6" s="9" t="s">
        <v>3</v>
      </c>
      <c r="I6" s="21">
        <f ca="1">TODAY()</f>
        <v>45294</v>
      </c>
    </row>
    <row r="7" spans="2:9" x14ac:dyDescent="0.3">
      <c r="B7" s="23" t="s">
        <v>4</v>
      </c>
      <c r="C7" s="23"/>
      <c r="D7" s="23"/>
      <c r="E7" s="23"/>
      <c r="F7" s="23"/>
      <c r="G7" s="23"/>
      <c r="H7" s="9" t="s">
        <v>5</v>
      </c>
      <c r="I7" s="22"/>
    </row>
    <row r="8" spans="2:9" x14ac:dyDescent="0.3">
      <c r="B8" s="23" t="s">
        <v>6</v>
      </c>
      <c r="C8" s="23"/>
      <c r="D8" s="23"/>
      <c r="E8" s="23"/>
      <c r="F8" s="23"/>
      <c r="G8" s="23"/>
      <c r="H8" s="2"/>
      <c r="I8" s="23"/>
    </row>
    <row r="9" spans="2:9" x14ac:dyDescent="0.3">
      <c r="B9" s="23" t="s">
        <v>7</v>
      </c>
      <c r="C9" s="23"/>
      <c r="D9" s="23"/>
      <c r="E9" s="23"/>
      <c r="F9" s="23"/>
      <c r="G9" s="23"/>
      <c r="H9" s="23"/>
      <c r="I9" s="23"/>
    </row>
    <row r="10" spans="2:9" x14ac:dyDescent="0.3">
      <c r="B10" s="23"/>
      <c r="C10" s="23"/>
      <c r="D10" s="23"/>
      <c r="E10" s="23"/>
      <c r="F10" s="23"/>
      <c r="G10" s="23"/>
      <c r="H10" s="23"/>
      <c r="I10" s="23"/>
    </row>
    <row r="11" spans="2:9" ht="18" customHeight="1" x14ac:dyDescent="0.3">
      <c r="B11" s="24" t="s">
        <v>8</v>
      </c>
      <c r="C11" s="10"/>
      <c r="D11" s="10"/>
      <c r="F11" s="145" t="s">
        <v>9</v>
      </c>
      <c r="G11" s="144"/>
      <c r="H11" s="144"/>
      <c r="I11" s="26"/>
    </row>
    <row r="12" spans="2:9" x14ac:dyDescent="0.3">
      <c r="B12" s="23" t="str">
        <f>VLOOKUP(B13,empresas[],2,FALSE)</f>
        <v>Marcelo Arias A.</v>
      </c>
      <c r="C12" s="23"/>
      <c r="D12" s="23"/>
      <c r="E12" s="23"/>
      <c r="F12" s="146" t="s">
        <v>369</v>
      </c>
      <c r="G12" s="144"/>
      <c r="H12" s="144"/>
      <c r="I12" s="144"/>
    </row>
    <row r="13" spans="2:9" x14ac:dyDescent="0.3">
      <c r="B13" s="23" t="s">
        <v>52</v>
      </c>
      <c r="C13" s="23"/>
      <c r="D13" s="23"/>
      <c r="E13" s="23"/>
      <c r="F13" s="23"/>
      <c r="G13" s="23"/>
      <c r="H13" s="23"/>
      <c r="I13" s="23"/>
    </row>
    <row r="14" spans="2:9" x14ac:dyDescent="0.3">
      <c r="B14" s="23"/>
      <c r="C14" s="23"/>
      <c r="D14" s="23"/>
      <c r="E14" s="23"/>
      <c r="F14" s="145" t="s">
        <v>12</v>
      </c>
      <c r="G14" s="144"/>
      <c r="H14" s="144"/>
      <c r="I14" s="23"/>
    </row>
    <row r="15" spans="2:9" x14ac:dyDescent="0.3">
      <c r="B15" s="23" t="str">
        <f>VLOOKUP(B13,empresas[],4,FALSE)</f>
        <v>Suc. Temuco Reyes Catolicos 01550</v>
      </c>
      <c r="C15" s="23"/>
      <c r="D15" s="23"/>
      <c r="E15" s="23"/>
      <c r="F15" s="146" t="s">
        <v>13</v>
      </c>
      <c r="G15" s="144"/>
      <c r="H15" s="144"/>
      <c r="I15" s="144"/>
    </row>
    <row r="16" spans="2:9" x14ac:dyDescent="0.3">
      <c r="B16" s="23" t="str">
        <f>VLOOKUP(B13,empresas[],5,FALSE)</f>
        <v>Temuco, Region de La Araucania</v>
      </c>
      <c r="C16" s="23"/>
      <c r="D16" s="23"/>
      <c r="E16" s="23"/>
      <c r="F16" s="23"/>
      <c r="G16" s="23"/>
      <c r="H16" s="23"/>
      <c r="I16" s="23"/>
    </row>
    <row r="17" spans="1:9" x14ac:dyDescent="0.3">
      <c r="B17" s="93" t="str">
        <f>VLOOKUP(B13,empresas[],6,FALSE)</f>
        <v>±569 74994160</v>
      </c>
      <c r="C17" s="23"/>
      <c r="D17" s="23"/>
      <c r="E17" s="23"/>
      <c r="F17" s="145" t="s">
        <v>14</v>
      </c>
      <c r="G17" s="144"/>
      <c r="H17" s="144"/>
      <c r="I17" s="23"/>
    </row>
    <row r="18" spans="1:9" x14ac:dyDescent="0.3">
      <c r="B18" s="30" t="str">
        <f>VLOOKUP(B13,empresas[],7,FALSE)</f>
        <v>marias@ebema.cl</v>
      </c>
      <c r="C18" s="23"/>
      <c r="D18" s="23"/>
      <c r="E18" s="23"/>
      <c r="F18" s="147"/>
      <c r="G18" s="144"/>
      <c r="H18" s="144"/>
      <c r="I18" s="144"/>
    </row>
    <row r="19" spans="1:9" ht="17.25" customHeight="1" x14ac:dyDescent="0.3">
      <c r="B19" s="4"/>
      <c r="C19" s="4"/>
      <c r="D19" s="4"/>
      <c r="E19" s="4"/>
      <c r="F19" s="4"/>
      <c r="G19" s="4"/>
      <c r="H19" s="4"/>
      <c r="I19" s="4"/>
    </row>
    <row r="20" spans="1:9" ht="18" customHeight="1" x14ac:dyDescent="0.3">
      <c r="B20" s="57" t="s">
        <v>15</v>
      </c>
      <c r="C20" s="148" t="s">
        <v>16</v>
      </c>
      <c r="D20" s="149"/>
      <c r="E20" s="149"/>
      <c r="F20" s="58" t="s">
        <v>17</v>
      </c>
      <c r="G20" s="58" t="s">
        <v>18</v>
      </c>
      <c r="H20" s="58" t="s">
        <v>19</v>
      </c>
      <c r="I20" s="67" t="s">
        <v>20</v>
      </c>
    </row>
    <row r="21" spans="1:9" x14ac:dyDescent="0.3">
      <c r="A21" s="138"/>
      <c r="B21" s="136"/>
      <c r="C21" s="150"/>
      <c r="D21" s="142"/>
      <c r="E21" s="142"/>
      <c r="F21" s="136"/>
      <c r="G21" s="136"/>
      <c r="H21" s="137"/>
      <c r="I21" s="95" t="str">
        <f t="shared" ref="I21:I38" si="0">IF(B21&lt;&gt;"",H21*F21,"")</f>
        <v/>
      </c>
    </row>
    <row r="22" spans="1:9" x14ac:dyDescent="0.3">
      <c r="A22" s="138"/>
      <c r="B22" s="136"/>
      <c r="C22" s="151"/>
      <c r="D22" s="142"/>
      <c r="E22" s="142"/>
      <c r="F22" s="136"/>
      <c r="G22" s="136"/>
      <c r="H22" s="137"/>
      <c r="I22" s="95" t="str">
        <f t="shared" si="0"/>
        <v/>
      </c>
    </row>
    <row r="23" spans="1:9" x14ac:dyDescent="0.3">
      <c r="A23" s="84"/>
      <c r="B23" s="136"/>
      <c r="C23" s="152"/>
      <c r="D23" s="142"/>
      <c r="E23" s="142"/>
      <c r="F23" s="136"/>
      <c r="G23" s="136"/>
      <c r="H23" s="137"/>
      <c r="I23" s="95" t="str">
        <f t="shared" si="0"/>
        <v/>
      </c>
    </row>
    <row r="24" spans="1:9" x14ac:dyDescent="0.3">
      <c r="B24" s="132"/>
      <c r="C24" s="141"/>
      <c r="D24" s="142"/>
      <c r="E24" s="142"/>
      <c r="F24" s="68"/>
      <c r="G24" s="68"/>
      <c r="H24" s="96"/>
      <c r="I24" s="95" t="str">
        <f t="shared" si="0"/>
        <v/>
      </c>
    </row>
    <row r="25" spans="1:9" x14ac:dyDescent="0.3">
      <c r="B25" s="132"/>
      <c r="C25" s="141"/>
      <c r="D25" s="142"/>
      <c r="E25" s="142"/>
      <c r="F25" s="68"/>
      <c r="G25" s="68"/>
      <c r="H25" s="96"/>
      <c r="I25" s="95" t="str">
        <f t="shared" si="0"/>
        <v/>
      </c>
    </row>
    <row r="26" spans="1:9" x14ac:dyDescent="0.3">
      <c r="B26" s="88"/>
      <c r="C26" s="141"/>
      <c r="D26" s="142"/>
      <c r="E26" s="142"/>
      <c r="F26" s="68"/>
      <c r="G26" s="68"/>
      <c r="H26" s="96"/>
      <c r="I26" s="95" t="str">
        <f t="shared" si="0"/>
        <v/>
      </c>
    </row>
    <row r="27" spans="1:9" x14ac:dyDescent="0.3">
      <c r="B27" s="89"/>
      <c r="C27" s="141"/>
      <c r="D27" s="142"/>
      <c r="E27" s="142"/>
      <c r="F27" s="68"/>
      <c r="G27" s="68"/>
      <c r="H27" s="96"/>
      <c r="I27" s="95" t="str">
        <f t="shared" si="0"/>
        <v/>
      </c>
    </row>
    <row r="28" spans="1:9" x14ac:dyDescent="0.3">
      <c r="B28" s="131"/>
      <c r="C28" s="141"/>
      <c r="D28" s="142"/>
      <c r="E28" s="142"/>
      <c r="F28" s="68"/>
      <c r="G28" s="68"/>
      <c r="H28" s="96"/>
      <c r="I28" s="95" t="str">
        <f t="shared" si="0"/>
        <v/>
      </c>
    </row>
    <row r="29" spans="1:9" x14ac:dyDescent="0.3">
      <c r="B29" s="131"/>
      <c r="C29" s="141"/>
      <c r="D29" s="142"/>
      <c r="E29" s="142"/>
      <c r="F29" s="68"/>
      <c r="G29" s="68"/>
      <c r="H29" s="96"/>
      <c r="I29" s="95" t="str">
        <f t="shared" si="0"/>
        <v/>
      </c>
    </row>
    <row r="30" spans="1:9" x14ac:dyDescent="0.3">
      <c r="B30" s="132"/>
      <c r="C30" s="141"/>
      <c r="D30" s="142"/>
      <c r="E30" s="142"/>
      <c r="F30" s="68"/>
      <c r="G30" s="68"/>
      <c r="H30" s="96"/>
      <c r="I30" s="95" t="str">
        <f t="shared" si="0"/>
        <v/>
      </c>
    </row>
    <row r="31" spans="1:9" x14ac:dyDescent="0.3">
      <c r="B31" s="133"/>
      <c r="C31" s="150"/>
      <c r="D31" s="142"/>
      <c r="E31" s="142"/>
      <c r="F31" s="68"/>
      <c r="G31" s="68"/>
      <c r="H31" s="96"/>
      <c r="I31" s="95" t="str">
        <f t="shared" si="0"/>
        <v/>
      </c>
    </row>
    <row r="32" spans="1:9" x14ac:dyDescent="0.3">
      <c r="B32" s="89"/>
      <c r="C32" s="150"/>
      <c r="D32" s="142"/>
      <c r="E32" s="142"/>
      <c r="F32" s="68"/>
      <c r="G32" s="68"/>
      <c r="H32" s="96"/>
      <c r="I32" s="95" t="str">
        <f t="shared" si="0"/>
        <v/>
      </c>
    </row>
    <row r="33" spans="2:10" x14ac:dyDescent="0.3">
      <c r="B33" s="90"/>
      <c r="C33" s="141"/>
      <c r="D33" s="142"/>
      <c r="E33" s="142"/>
      <c r="F33" s="68"/>
      <c r="G33" s="68"/>
      <c r="H33" s="96"/>
      <c r="I33" s="95" t="str">
        <f t="shared" si="0"/>
        <v/>
      </c>
    </row>
    <row r="34" spans="2:10" x14ac:dyDescent="0.3">
      <c r="B34" s="134"/>
      <c r="C34" s="153"/>
      <c r="D34" s="153"/>
      <c r="E34" s="153"/>
      <c r="F34" s="134"/>
      <c r="G34" s="134"/>
      <c r="H34" s="134"/>
      <c r="I34" s="95" t="str">
        <f t="shared" si="0"/>
        <v/>
      </c>
    </row>
    <row r="35" spans="2:10" x14ac:dyDescent="0.3">
      <c r="B35" s="134"/>
      <c r="C35" s="154"/>
      <c r="D35" s="155"/>
      <c r="E35" s="156"/>
      <c r="F35" s="134"/>
      <c r="G35" s="134"/>
      <c r="H35" s="134"/>
      <c r="I35" s="95" t="str">
        <f t="shared" si="0"/>
        <v/>
      </c>
    </row>
    <row r="36" spans="2:10" x14ac:dyDescent="0.3">
      <c r="B36" s="69"/>
      <c r="C36" s="141" t="str">
        <f>IF(B36="","",VLOOKUP(B36,#REF!,2,FALSE))</f>
        <v/>
      </c>
      <c r="D36" s="142"/>
      <c r="E36" s="142"/>
      <c r="F36" s="68"/>
      <c r="G36" s="68"/>
      <c r="H36" s="97"/>
      <c r="I36" s="95" t="str">
        <f t="shared" si="0"/>
        <v/>
      </c>
    </row>
    <row r="37" spans="2:10" x14ac:dyDescent="0.3">
      <c r="B37" s="69"/>
      <c r="C37" s="141" t="str">
        <f>IF(B37="","",VLOOKUP(B37,#REF!,2,FALSE))</f>
        <v/>
      </c>
      <c r="D37" s="142"/>
      <c r="E37" s="142"/>
      <c r="F37" s="68"/>
      <c r="G37" s="68"/>
      <c r="H37" s="97"/>
      <c r="I37" s="95" t="str">
        <f t="shared" si="0"/>
        <v/>
      </c>
    </row>
    <row r="38" spans="2:10" x14ac:dyDescent="0.3">
      <c r="B38" s="69"/>
      <c r="C38" s="141" t="str">
        <f>IF(B38="","",VLOOKUP(B38,#REF!,2,FALSE))</f>
        <v/>
      </c>
      <c r="D38" s="142"/>
      <c r="E38" s="142"/>
      <c r="F38" s="68"/>
      <c r="G38" s="68"/>
      <c r="H38" s="97"/>
      <c r="I38" s="95" t="str">
        <f t="shared" si="0"/>
        <v/>
      </c>
    </row>
    <row r="39" spans="2:10" ht="18" customHeight="1" x14ac:dyDescent="0.3">
      <c r="B39" s="157"/>
      <c r="C39" s="144"/>
      <c r="D39" s="144"/>
      <c r="E39" s="144"/>
      <c r="F39" s="13" t="s">
        <v>21</v>
      </c>
      <c r="G39" s="13"/>
      <c r="H39" s="70" t="s">
        <v>22</v>
      </c>
      <c r="I39" s="98">
        <f>SUM(I21:I38)</f>
        <v>0</v>
      </c>
      <c r="J39" s="139"/>
    </row>
    <row r="40" spans="2:10" ht="18" customHeight="1" x14ac:dyDescent="0.3">
      <c r="B40" s="158" t="s">
        <v>23</v>
      </c>
      <c r="C40" s="159"/>
      <c r="D40" s="159"/>
      <c r="E40" s="160"/>
      <c r="F40" s="13"/>
      <c r="G40" s="13"/>
      <c r="H40" s="23" t="s">
        <v>24</v>
      </c>
      <c r="I40" s="99">
        <f>I39*0.19</f>
        <v>0</v>
      </c>
    </row>
    <row r="41" spans="2:10" ht="18" customHeight="1" x14ac:dyDescent="0.3">
      <c r="B41" s="161" t="s">
        <v>25</v>
      </c>
      <c r="C41" s="162"/>
      <c r="D41" s="162"/>
      <c r="E41" s="163"/>
      <c r="F41" s="4"/>
      <c r="G41" s="4"/>
      <c r="H41" s="23" t="s">
        <v>26</v>
      </c>
      <c r="I41" s="99">
        <v>0</v>
      </c>
    </row>
    <row r="42" spans="2:10" ht="18" customHeight="1" thickBot="1" x14ac:dyDescent="0.35">
      <c r="B42" s="164"/>
      <c r="C42" s="144"/>
      <c r="D42" s="144"/>
      <c r="E42" s="165"/>
      <c r="F42" s="4"/>
      <c r="G42" s="4"/>
      <c r="H42" s="6" t="s">
        <v>27</v>
      </c>
      <c r="I42" s="100">
        <v>0</v>
      </c>
    </row>
    <row r="43" spans="2:10" ht="18" customHeight="1" thickTop="1" x14ac:dyDescent="0.3">
      <c r="B43" s="164"/>
      <c r="C43" s="144"/>
      <c r="D43" s="144"/>
      <c r="E43" s="165"/>
      <c r="F43" s="4"/>
      <c r="G43" s="4"/>
      <c r="H43" s="7" t="s">
        <v>20</v>
      </c>
      <c r="I43" s="101">
        <f>+I40+I39</f>
        <v>0</v>
      </c>
    </row>
    <row r="44" spans="2:10" ht="18" customHeight="1" x14ac:dyDescent="0.3">
      <c r="B44" s="164"/>
      <c r="C44" s="144"/>
      <c r="D44" s="144"/>
      <c r="E44" s="165"/>
      <c r="F44" s="4"/>
      <c r="G44" s="4"/>
    </row>
    <row r="45" spans="2:10" ht="18" customHeight="1" x14ac:dyDescent="0.3">
      <c r="B45" s="166"/>
      <c r="C45" s="167"/>
      <c r="D45" s="167"/>
      <c r="E45" s="168"/>
      <c r="F45" s="4"/>
      <c r="G45" s="4"/>
    </row>
    <row r="46" spans="2:10" ht="18" customHeight="1" x14ac:dyDescent="0.3">
      <c r="B46" s="92"/>
      <c r="C46" s="92"/>
      <c r="D46" s="92"/>
      <c r="E46" s="92"/>
      <c r="F46" s="4"/>
      <c r="G46" s="4"/>
    </row>
    <row r="47" spans="2:10" x14ac:dyDescent="0.3">
      <c r="B47" s="169" t="s">
        <v>28</v>
      </c>
      <c r="C47" s="144"/>
      <c r="D47" s="144"/>
      <c r="E47" s="144"/>
      <c r="F47" s="144"/>
      <c r="G47" s="144"/>
      <c r="H47" s="144"/>
      <c r="I47" s="144"/>
    </row>
    <row r="48" spans="2:10" x14ac:dyDescent="0.3">
      <c r="B48" s="169" t="s">
        <v>29</v>
      </c>
      <c r="C48" s="144"/>
      <c r="D48" s="144"/>
      <c r="E48" s="144"/>
      <c r="F48" s="144"/>
      <c r="G48" s="144"/>
      <c r="H48" s="144"/>
      <c r="I48" s="144"/>
    </row>
    <row r="49" spans="13:13" x14ac:dyDescent="0.3">
      <c r="M49" s="3"/>
    </row>
  </sheetData>
  <mergeCells count="31">
    <mergeCell ref="B39:E39"/>
    <mergeCell ref="B40:E40"/>
    <mergeCell ref="B41:E45"/>
    <mergeCell ref="B47:I47"/>
    <mergeCell ref="B48:I48"/>
    <mergeCell ref="C38:E38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6:E36"/>
    <mergeCell ref="C37:E37"/>
    <mergeCell ref="C34:E34"/>
    <mergeCell ref="C35:E35"/>
    <mergeCell ref="C24:E24"/>
    <mergeCell ref="B5:D5"/>
    <mergeCell ref="F11:H11"/>
    <mergeCell ref="F12:I12"/>
    <mergeCell ref="F14:H14"/>
    <mergeCell ref="F15:I15"/>
    <mergeCell ref="F17:H17"/>
    <mergeCell ref="F18:I18"/>
    <mergeCell ref="C20:E20"/>
    <mergeCell ref="C21:E21"/>
    <mergeCell ref="C22:E22"/>
    <mergeCell ref="C23:E23"/>
  </mergeCells>
  <hyperlinks>
    <hyperlink ref="B18" r:id="rId1" display="marias@ebema.cl" xr:uid="{00000000-0004-0000-0000-000000000000}"/>
  </hyperlinks>
  <printOptions horizontalCentered="1"/>
  <pageMargins left="0.5" right="0.5" top="0.5" bottom="0.5" header="0.3" footer="0.3"/>
  <pageSetup scale="92" fitToHeight="0" orientation="portrait" horizontalDpi="360" verticalDpi="36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pageSetUpPr fitToPage="1"/>
  </sheetPr>
  <dimension ref="A5:M49"/>
  <sheetViews>
    <sheetView showGridLines="0" view="pageBreakPreview" topLeftCell="A10" zoomScaleNormal="100" zoomScaleSheetLayoutView="100" workbookViewId="0">
      <selection activeCell="B15" sqref="B15"/>
    </sheetView>
  </sheetViews>
  <sheetFormatPr defaultColWidth="8.85546875" defaultRowHeight="15" x14ac:dyDescent="0.3"/>
  <cols>
    <col min="1" max="1" width="8.85546875" customWidth="1"/>
    <col min="2" max="2" width="16.7109375" customWidth="1"/>
    <col min="3" max="3" width="11.42578125" customWidth="1"/>
    <col min="4" max="4" width="11.28515625" customWidth="1"/>
    <col min="5" max="5" width="20.28515625" customWidth="1"/>
    <col min="6" max="7" width="11.7109375" customWidth="1"/>
    <col min="8" max="8" width="12.7109375" customWidth="1"/>
    <col min="9" max="11" width="14.140625" customWidth="1"/>
    <col min="12" max="12" width="6.42578125" customWidth="1"/>
    <col min="13" max="13" width="24.140625" customWidth="1"/>
    <col min="14" max="15" width="8.85546875" customWidth="1"/>
  </cols>
  <sheetData>
    <row r="5" spans="2:9" ht="33.75" customHeight="1" x14ac:dyDescent="0.45">
      <c r="B5" s="143" t="s">
        <v>30</v>
      </c>
      <c r="C5" s="143"/>
      <c r="D5" s="143"/>
      <c r="E5" s="27"/>
      <c r="F5" s="27"/>
      <c r="G5" s="27"/>
      <c r="H5" s="28"/>
      <c r="I5" s="29" t="s">
        <v>1</v>
      </c>
    </row>
    <row r="6" spans="2:9" x14ac:dyDescent="0.3">
      <c r="B6" s="23" t="s">
        <v>2</v>
      </c>
      <c r="C6" s="23"/>
      <c r="D6" s="23"/>
      <c r="E6" s="23"/>
      <c r="F6" s="23"/>
      <c r="G6" s="23"/>
      <c r="H6" s="9" t="s">
        <v>3</v>
      </c>
      <c r="I6" s="21">
        <f ca="1">TODAY()</f>
        <v>45294</v>
      </c>
    </row>
    <row r="7" spans="2:9" x14ac:dyDescent="0.3">
      <c r="B7" s="23" t="s">
        <v>4</v>
      </c>
      <c r="C7" s="23"/>
      <c r="D7" s="23"/>
      <c r="E7" s="23"/>
      <c r="F7" s="23"/>
      <c r="G7" s="23"/>
      <c r="H7" s="9" t="s">
        <v>5</v>
      </c>
      <c r="I7" s="22"/>
    </row>
    <row r="8" spans="2:9" x14ac:dyDescent="0.3">
      <c r="B8" s="23" t="s">
        <v>6</v>
      </c>
      <c r="C8" s="23"/>
      <c r="D8" s="23"/>
      <c r="E8" s="23"/>
      <c r="F8" s="23"/>
      <c r="G8" s="23"/>
      <c r="H8" s="2"/>
      <c r="I8" s="23"/>
    </row>
    <row r="9" spans="2:9" x14ac:dyDescent="0.3">
      <c r="B9" s="23" t="s">
        <v>31</v>
      </c>
      <c r="C9" s="23"/>
      <c r="D9" s="23"/>
      <c r="E9" s="23"/>
      <c r="F9" s="23"/>
      <c r="G9" s="23"/>
      <c r="H9" s="23"/>
      <c r="I9" s="23"/>
    </row>
    <row r="10" spans="2:9" x14ac:dyDescent="0.3">
      <c r="B10" s="23"/>
      <c r="C10" s="23"/>
      <c r="D10" s="23"/>
      <c r="E10" s="23"/>
      <c r="F10" s="23"/>
      <c r="G10" s="23"/>
      <c r="H10" s="23"/>
      <c r="I10" s="23"/>
    </row>
    <row r="11" spans="2:9" ht="18" customHeight="1" x14ac:dyDescent="0.3">
      <c r="B11" s="24" t="s">
        <v>8</v>
      </c>
      <c r="C11" s="10"/>
      <c r="D11" s="10"/>
      <c r="F11" s="145" t="s">
        <v>9</v>
      </c>
      <c r="G11" s="145"/>
      <c r="H11" s="145"/>
      <c r="I11" s="26"/>
    </row>
    <row r="12" spans="2:9" x14ac:dyDescent="0.3">
      <c r="B12" s="23" t="str">
        <f>VLOOKUP(B13,empresas[],2,FALSE)</f>
        <v>Marcelo Arias A.</v>
      </c>
      <c r="C12" s="23"/>
      <c r="D12" s="23"/>
      <c r="E12" s="23"/>
      <c r="F12" s="146" t="s">
        <v>10</v>
      </c>
      <c r="G12" s="146"/>
      <c r="H12" s="146"/>
      <c r="I12" s="146"/>
    </row>
    <row r="13" spans="2:9" x14ac:dyDescent="0.3">
      <c r="B13" s="23" t="s">
        <v>52</v>
      </c>
      <c r="C13" s="23"/>
      <c r="D13" s="23"/>
      <c r="E13" s="23"/>
      <c r="F13" s="23"/>
      <c r="G13" s="23"/>
      <c r="H13" s="23"/>
      <c r="I13" s="23"/>
    </row>
    <row r="14" spans="2:9" x14ac:dyDescent="0.3">
      <c r="B14" s="23"/>
      <c r="C14" s="23"/>
      <c r="D14" s="23"/>
      <c r="E14" s="23"/>
      <c r="F14" s="145" t="s">
        <v>12</v>
      </c>
      <c r="G14" s="145"/>
      <c r="H14" s="145"/>
      <c r="I14" s="23"/>
    </row>
    <row r="15" spans="2:9" x14ac:dyDescent="0.3">
      <c r="B15" s="23" t="str">
        <f>VLOOKUP(B13,empresas[],4,FALSE)</f>
        <v>Suc. Temuco Reyes Catolicos 01550</v>
      </c>
      <c r="C15" s="23"/>
      <c r="D15" s="23"/>
      <c r="E15" s="23"/>
      <c r="F15" s="146" t="s">
        <v>13</v>
      </c>
      <c r="G15" s="146"/>
      <c r="H15" s="146"/>
      <c r="I15" s="146"/>
    </row>
    <row r="16" spans="2:9" x14ac:dyDescent="0.3">
      <c r="B16" s="23" t="str">
        <f>VLOOKUP(B13,empresas[],5,FALSE)</f>
        <v>Temuco, Region de La Araucania</v>
      </c>
      <c r="C16" s="23"/>
      <c r="D16" s="23"/>
      <c r="E16" s="23"/>
      <c r="F16" s="23"/>
      <c r="G16" s="23"/>
      <c r="H16" s="23"/>
      <c r="I16" s="23"/>
    </row>
    <row r="17" spans="1:9" x14ac:dyDescent="0.3">
      <c r="B17" s="93" t="str">
        <f>VLOOKUP(B13,empresas[],6,FALSE)</f>
        <v>±569 74994160</v>
      </c>
      <c r="C17" s="23"/>
      <c r="D17" s="23"/>
      <c r="E17" s="23"/>
      <c r="F17" s="145" t="s">
        <v>14</v>
      </c>
      <c r="G17" s="145"/>
      <c r="H17" s="145"/>
      <c r="I17" s="23"/>
    </row>
    <row r="18" spans="1:9" x14ac:dyDescent="0.3">
      <c r="B18" s="30" t="str">
        <f>VLOOKUP(B13,empresas[],7,FALSE)</f>
        <v>marias@ebema.cl</v>
      </c>
      <c r="C18" s="23"/>
      <c r="D18" s="23"/>
      <c r="E18" s="23"/>
      <c r="F18" s="147"/>
      <c r="G18" s="147"/>
      <c r="H18" s="147"/>
      <c r="I18" s="147"/>
    </row>
    <row r="19" spans="1:9" ht="17.25" customHeight="1" x14ac:dyDescent="0.3">
      <c r="B19" s="4"/>
      <c r="C19" s="4"/>
      <c r="D19" s="4"/>
      <c r="E19" s="4"/>
      <c r="F19" s="4"/>
      <c r="G19" s="4"/>
      <c r="H19" s="4"/>
      <c r="I19" s="4"/>
    </row>
    <row r="20" spans="1:9" ht="18" customHeight="1" x14ac:dyDescent="0.3">
      <c r="B20" s="57" t="s">
        <v>15</v>
      </c>
      <c r="C20" s="189" t="s">
        <v>16</v>
      </c>
      <c r="D20" s="189"/>
      <c r="E20" s="189"/>
      <c r="F20" s="58" t="s">
        <v>17</v>
      </c>
      <c r="G20" s="58" t="s">
        <v>18</v>
      </c>
      <c r="H20" s="58" t="s">
        <v>19</v>
      </c>
      <c r="I20" s="67" t="s">
        <v>20</v>
      </c>
    </row>
    <row r="21" spans="1:9" x14ac:dyDescent="0.3">
      <c r="B21" s="136"/>
      <c r="C21" s="186"/>
      <c r="D21" s="187"/>
      <c r="E21" s="188"/>
      <c r="F21" s="136"/>
      <c r="G21" s="135"/>
      <c r="H21" s="137"/>
      <c r="I21" s="95" t="str">
        <f t="shared" ref="I21:I38" si="0">IF(B21&lt;&gt;"",H21*F21,"")</f>
        <v/>
      </c>
    </row>
    <row r="22" spans="1:9" x14ac:dyDescent="0.3">
      <c r="B22" s="136"/>
      <c r="C22" s="190"/>
      <c r="D22" s="191"/>
      <c r="E22" s="192"/>
      <c r="F22" s="136"/>
      <c r="G22" s="135"/>
      <c r="H22" s="137"/>
      <c r="I22" s="95" t="str">
        <f t="shared" si="0"/>
        <v/>
      </c>
    </row>
    <row r="23" spans="1:9" x14ac:dyDescent="0.3">
      <c r="B23" s="136"/>
      <c r="C23" s="193"/>
      <c r="D23" s="194"/>
      <c r="E23" s="195"/>
      <c r="F23" s="136"/>
      <c r="G23" s="135"/>
      <c r="H23" s="137"/>
      <c r="I23" s="95" t="str">
        <f t="shared" si="0"/>
        <v/>
      </c>
    </row>
    <row r="24" spans="1:9" x14ac:dyDescent="0.3">
      <c r="B24" s="132"/>
      <c r="C24" s="170"/>
      <c r="D24" s="171"/>
      <c r="E24" s="172"/>
      <c r="F24" s="68"/>
      <c r="G24" s="135"/>
      <c r="H24" s="96"/>
      <c r="I24" s="95" t="str">
        <f t="shared" si="0"/>
        <v/>
      </c>
    </row>
    <row r="25" spans="1:9" x14ac:dyDescent="0.3">
      <c r="A25" s="84"/>
      <c r="B25" s="132"/>
      <c r="C25" s="170"/>
      <c r="D25" s="171"/>
      <c r="E25" s="172"/>
      <c r="F25" s="68"/>
      <c r="G25" s="68"/>
      <c r="H25" s="96"/>
      <c r="I25" s="95" t="str">
        <f t="shared" si="0"/>
        <v/>
      </c>
    </row>
    <row r="26" spans="1:9" x14ac:dyDescent="0.3">
      <c r="A26" s="84"/>
      <c r="B26" s="88"/>
      <c r="C26" s="170"/>
      <c r="D26" s="171"/>
      <c r="E26" s="172"/>
      <c r="F26" s="68"/>
      <c r="G26" s="68"/>
      <c r="H26" s="96"/>
      <c r="I26" s="95" t="str">
        <f t="shared" si="0"/>
        <v/>
      </c>
    </row>
    <row r="27" spans="1:9" x14ac:dyDescent="0.3">
      <c r="A27" s="84"/>
      <c r="B27" s="89"/>
      <c r="C27" s="170"/>
      <c r="D27" s="171"/>
      <c r="E27" s="172"/>
      <c r="F27" s="68"/>
      <c r="G27" s="68"/>
      <c r="H27" s="96"/>
      <c r="I27" s="95" t="str">
        <f t="shared" si="0"/>
        <v/>
      </c>
    </row>
    <row r="28" spans="1:9" x14ac:dyDescent="0.3">
      <c r="A28" s="84"/>
      <c r="B28" s="131"/>
      <c r="C28" s="170"/>
      <c r="D28" s="171"/>
      <c r="E28" s="172"/>
      <c r="F28" s="68"/>
      <c r="G28" s="68"/>
      <c r="H28" s="96"/>
      <c r="I28" s="95" t="str">
        <f t="shared" si="0"/>
        <v/>
      </c>
    </row>
    <row r="29" spans="1:9" x14ac:dyDescent="0.3">
      <c r="A29" s="84"/>
      <c r="B29" s="131"/>
      <c r="C29" s="170"/>
      <c r="D29" s="171"/>
      <c r="E29" s="172"/>
      <c r="F29" s="68"/>
      <c r="G29" s="68"/>
      <c r="H29" s="96"/>
      <c r="I29" s="95" t="str">
        <f t="shared" si="0"/>
        <v/>
      </c>
    </row>
    <row r="30" spans="1:9" x14ac:dyDescent="0.3">
      <c r="A30" s="84"/>
      <c r="B30" s="132"/>
      <c r="C30" s="170"/>
      <c r="D30" s="171"/>
      <c r="E30" s="172"/>
      <c r="F30" s="68"/>
      <c r="G30" s="68"/>
      <c r="H30" s="96"/>
      <c r="I30" s="95" t="str">
        <f t="shared" si="0"/>
        <v/>
      </c>
    </row>
    <row r="31" spans="1:9" x14ac:dyDescent="0.3">
      <c r="A31" s="84"/>
      <c r="B31" s="133"/>
      <c r="C31" s="186"/>
      <c r="D31" s="187"/>
      <c r="E31" s="188"/>
      <c r="F31" s="68"/>
      <c r="G31" s="68"/>
      <c r="H31" s="96"/>
      <c r="I31" s="95" t="str">
        <f t="shared" si="0"/>
        <v/>
      </c>
    </row>
    <row r="32" spans="1:9" x14ac:dyDescent="0.3">
      <c r="B32" s="89"/>
      <c r="C32" s="186"/>
      <c r="D32" s="187"/>
      <c r="E32" s="188"/>
      <c r="F32" s="68"/>
      <c r="G32" s="68"/>
      <c r="H32" s="96"/>
      <c r="I32" s="95" t="str">
        <f t="shared" si="0"/>
        <v/>
      </c>
    </row>
    <row r="33" spans="2:9" x14ac:dyDescent="0.3">
      <c r="B33" s="90"/>
      <c r="C33" s="170"/>
      <c r="D33" s="171"/>
      <c r="E33" s="172"/>
      <c r="F33" s="68"/>
      <c r="G33" s="68"/>
      <c r="H33" s="96"/>
      <c r="I33" s="95" t="str">
        <f t="shared" si="0"/>
        <v/>
      </c>
    </row>
    <row r="34" spans="2:9" x14ac:dyDescent="0.3">
      <c r="B34" s="134"/>
      <c r="C34" s="154"/>
      <c r="D34" s="155"/>
      <c r="E34" s="156"/>
      <c r="F34" s="134"/>
      <c r="G34" s="134"/>
      <c r="H34" s="140"/>
      <c r="I34" s="95" t="str">
        <f t="shared" si="0"/>
        <v/>
      </c>
    </row>
    <row r="35" spans="2:9" x14ac:dyDescent="0.3">
      <c r="B35" s="134"/>
      <c r="C35" s="154"/>
      <c r="D35" s="155"/>
      <c r="E35" s="156"/>
      <c r="F35" s="134"/>
      <c r="G35" s="134"/>
      <c r="H35" s="140"/>
      <c r="I35" s="95" t="str">
        <f t="shared" si="0"/>
        <v/>
      </c>
    </row>
    <row r="36" spans="2:9" x14ac:dyDescent="0.3">
      <c r="B36" s="69"/>
      <c r="C36" s="170" t="str">
        <f>IF(B36="","",VLOOKUP(B36,#REF!,2,FALSE))</f>
        <v/>
      </c>
      <c r="D36" s="171"/>
      <c r="E36" s="172"/>
      <c r="F36" s="68"/>
      <c r="G36" s="68"/>
      <c r="H36" s="97"/>
      <c r="I36" s="95" t="str">
        <f t="shared" si="0"/>
        <v/>
      </c>
    </row>
    <row r="37" spans="2:9" x14ac:dyDescent="0.3">
      <c r="B37" s="69"/>
      <c r="C37" s="170" t="str">
        <f>IF(B37="","",VLOOKUP(B37,#REF!,2,FALSE))</f>
        <v/>
      </c>
      <c r="D37" s="171"/>
      <c r="E37" s="172"/>
      <c r="F37" s="68"/>
      <c r="G37" s="68"/>
      <c r="H37" s="97"/>
      <c r="I37" s="95" t="str">
        <f t="shared" si="0"/>
        <v/>
      </c>
    </row>
    <row r="38" spans="2:9" x14ac:dyDescent="0.3">
      <c r="B38" s="69"/>
      <c r="C38" s="170" t="str">
        <f>IF(B38="","",VLOOKUP(B38,#REF!,2,FALSE))</f>
        <v/>
      </c>
      <c r="D38" s="171"/>
      <c r="E38" s="172"/>
      <c r="F38" s="68"/>
      <c r="G38" s="68"/>
      <c r="H38" s="97"/>
      <c r="I38" s="95" t="str">
        <f t="shared" si="0"/>
        <v/>
      </c>
    </row>
    <row r="39" spans="2:9" ht="18" customHeight="1" x14ac:dyDescent="0.3">
      <c r="B39" s="173"/>
      <c r="C39" s="173"/>
      <c r="D39" s="173"/>
      <c r="E39" s="173"/>
      <c r="F39" s="13" t="s">
        <v>21</v>
      </c>
      <c r="G39" s="13"/>
      <c r="H39" s="70" t="s">
        <v>22</v>
      </c>
      <c r="I39" s="98">
        <f>SUM(I21:I38)</f>
        <v>0</v>
      </c>
    </row>
    <row r="40" spans="2:9" ht="18" customHeight="1" x14ac:dyDescent="0.3">
      <c r="B40" s="174" t="s">
        <v>23</v>
      </c>
      <c r="C40" s="175"/>
      <c r="D40" s="175"/>
      <c r="E40" s="176"/>
      <c r="F40" s="13"/>
      <c r="G40" s="13"/>
      <c r="H40" s="23" t="s">
        <v>24</v>
      </c>
      <c r="I40" s="99">
        <f>I39*0.19</f>
        <v>0</v>
      </c>
    </row>
    <row r="41" spans="2:9" ht="18" customHeight="1" x14ac:dyDescent="0.3">
      <c r="B41" s="177" t="s">
        <v>25</v>
      </c>
      <c r="C41" s="178"/>
      <c r="D41" s="178"/>
      <c r="E41" s="179"/>
      <c r="F41" s="4"/>
      <c r="G41" s="4"/>
      <c r="H41" s="23" t="s">
        <v>26</v>
      </c>
      <c r="I41" s="99">
        <v>0</v>
      </c>
    </row>
    <row r="42" spans="2:9" ht="18" customHeight="1" thickBot="1" x14ac:dyDescent="0.35">
      <c r="B42" s="180"/>
      <c r="C42" s="181"/>
      <c r="D42" s="181"/>
      <c r="E42" s="182"/>
      <c r="F42" s="4"/>
      <c r="G42" s="4"/>
      <c r="H42" s="6" t="s">
        <v>27</v>
      </c>
      <c r="I42" s="100">
        <v>0</v>
      </c>
    </row>
    <row r="43" spans="2:9" ht="18" customHeight="1" thickTop="1" x14ac:dyDescent="0.3">
      <c r="B43" s="180"/>
      <c r="C43" s="181"/>
      <c r="D43" s="181"/>
      <c r="E43" s="182"/>
      <c r="F43" s="4"/>
      <c r="G43" s="4"/>
      <c r="H43" s="7" t="s">
        <v>20</v>
      </c>
      <c r="I43" s="101">
        <f>SUM(I39:I40)</f>
        <v>0</v>
      </c>
    </row>
    <row r="44" spans="2:9" ht="18" customHeight="1" x14ac:dyDescent="0.3">
      <c r="B44" s="180"/>
      <c r="C44" s="181"/>
      <c r="D44" s="181"/>
      <c r="E44" s="182"/>
      <c r="F44" s="4"/>
      <c r="G44" s="4"/>
    </row>
    <row r="45" spans="2:9" ht="18" customHeight="1" x14ac:dyDescent="0.3">
      <c r="B45" s="183"/>
      <c r="C45" s="184"/>
      <c r="D45" s="184"/>
      <c r="E45" s="185"/>
      <c r="F45" s="4"/>
      <c r="G45" s="4"/>
    </row>
    <row r="46" spans="2:9" ht="18" customHeight="1" x14ac:dyDescent="0.3">
      <c r="B46" s="92"/>
      <c r="C46" s="92"/>
      <c r="D46" s="92"/>
      <c r="E46" s="92"/>
      <c r="F46" s="4"/>
      <c r="G46" s="4"/>
    </row>
    <row r="47" spans="2:9" x14ac:dyDescent="0.3">
      <c r="B47" s="169" t="s">
        <v>28</v>
      </c>
      <c r="C47" s="169"/>
      <c r="D47" s="169"/>
      <c r="E47" s="169"/>
      <c r="F47" s="169"/>
      <c r="G47" s="169"/>
      <c r="H47" s="169"/>
      <c r="I47" s="169"/>
    </row>
    <row r="48" spans="2:9" x14ac:dyDescent="0.3">
      <c r="B48" s="169" t="s">
        <v>29</v>
      </c>
      <c r="C48" s="169"/>
      <c r="D48" s="169"/>
      <c r="E48" s="169"/>
      <c r="F48" s="169"/>
      <c r="G48" s="169"/>
      <c r="H48" s="169"/>
      <c r="I48" s="169"/>
    </row>
    <row r="49" spans="13:13" x14ac:dyDescent="0.3">
      <c r="M49" s="3"/>
    </row>
  </sheetData>
  <mergeCells count="31">
    <mergeCell ref="C24:E24"/>
    <mergeCell ref="B5:D5"/>
    <mergeCell ref="F11:H11"/>
    <mergeCell ref="F12:I12"/>
    <mergeCell ref="F14:H14"/>
    <mergeCell ref="F15:I15"/>
    <mergeCell ref="F17:H17"/>
    <mergeCell ref="F18:I18"/>
    <mergeCell ref="C20:E20"/>
    <mergeCell ref="C21:E21"/>
    <mergeCell ref="C22:E22"/>
    <mergeCell ref="C23:E23"/>
    <mergeCell ref="C36:E36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B48:I48"/>
    <mergeCell ref="C37:E37"/>
    <mergeCell ref="C38:E38"/>
    <mergeCell ref="B39:E39"/>
    <mergeCell ref="B40:E40"/>
    <mergeCell ref="B41:E45"/>
    <mergeCell ref="B47:I47"/>
  </mergeCells>
  <hyperlinks>
    <hyperlink ref="B18" r:id="rId1" display="marias@ebema.cl" xr:uid="{00000000-0004-0000-0100-000000000000}"/>
  </hyperlinks>
  <printOptions horizontalCentered="1"/>
  <pageMargins left="0.51181102362204722" right="0.51181102362204722" top="0.51181102362204722" bottom="0.51181102362204722" header="0.31496062992125984" footer="0.31496062992125984"/>
  <pageSetup paperSize="14" scale="91" fitToHeight="0" orientation="portrait" horizontalDpi="360" verticalDpi="36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pageSetUpPr fitToPage="1"/>
  </sheetPr>
  <dimension ref="A5:I48"/>
  <sheetViews>
    <sheetView showGridLines="0" view="pageBreakPreview" zoomScale="80" zoomScaleNormal="100" zoomScaleSheetLayoutView="80" workbookViewId="0">
      <selection activeCell="E8" sqref="E8"/>
    </sheetView>
  </sheetViews>
  <sheetFormatPr defaultColWidth="8.85546875" defaultRowHeight="15" x14ac:dyDescent="0.3"/>
  <cols>
    <col min="1" max="1" width="16.7109375" customWidth="1"/>
    <col min="2" max="2" width="11.42578125" customWidth="1"/>
    <col min="3" max="3" width="11.28515625" customWidth="1"/>
    <col min="4" max="4" width="16.7109375" customWidth="1"/>
    <col min="5" max="5" width="11.7109375" customWidth="1"/>
    <col min="6" max="6" width="12.7109375" customWidth="1"/>
    <col min="7" max="7" width="14.140625" customWidth="1"/>
    <col min="8" max="8" width="6.42578125" customWidth="1"/>
    <col min="9" max="9" width="24.140625" customWidth="1"/>
    <col min="10" max="11" width="8.85546875" customWidth="1"/>
  </cols>
  <sheetData>
    <row r="5" spans="1:9" ht="33.75" customHeight="1" x14ac:dyDescent="0.45">
      <c r="A5" s="143" t="s">
        <v>30</v>
      </c>
      <c r="B5" s="144"/>
      <c r="C5" s="144"/>
      <c r="D5" s="27"/>
      <c r="E5" s="27"/>
      <c r="F5" s="28"/>
      <c r="G5" s="29" t="s">
        <v>1</v>
      </c>
    </row>
    <row r="6" spans="1:9" x14ac:dyDescent="0.3">
      <c r="A6" s="23" t="s">
        <v>32</v>
      </c>
      <c r="B6" s="23"/>
      <c r="C6" s="23"/>
      <c r="D6" s="23"/>
      <c r="E6" s="23"/>
      <c r="F6" s="9" t="s">
        <v>3</v>
      </c>
      <c r="G6" s="21">
        <f ca="1">TODAY()</f>
        <v>45294</v>
      </c>
      <c r="I6" s="1"/>
    </row>
    <row r="7" spans="1:9" x14ac:dyDescent="0.3">
      <c r="A7" s="23" t="s">
        <v>4</v>
      </c>
      <c r="B7" s="23"/>
      <c r="C7" s="23"/>
      <c r="D7" s="23"/>
      <c r="E7" s="23"/>
      <c r="F7" s="9" t="s">
        <v>5</v>
      </c>
      <c r="G7" s="22">
        <v>1</v>
      </c>
      <c r="I7" s="16"/>
    </row>
    <row r="8" spans="1:9" x14ac:dyDescent="0.3">
      <c r="A8" s="23" t="s">
        <v>33</v>
      </c>
      <c r="B8" s="23"/>
      <c r="C8" s="23"/>
      <c r="D8" s="23"/>
      <c r="E8" s="23"/>
      <c r="F8" s="2"/>
      <c r="G8" s="23"/>
      <c r="I8" s="20"/>
    </row>
    <row r="9" spans="1:9" x14ac:dyDescent="0.3">
      <c r="A9" s="23" t="s">
        <v>31</v>
      </c>
      <c r="B9" s="23"/>
      <c r="C9" s="23"/>
      <c r="D9" s="23"/>
      <c r="E9" s="23"/>
      <c r="F9" s="23"/>
      <c r="G9" s="23"/>
      <c r="I9" s="19"/>
    </row>
    <row r="10" spans="1:9" x14ac:dyDescent="0.3">
      <c r="A10" s="23"/>
      <c r="B10" s="23"/>
      <c r="C10" s="23"/>
      <c r="D10" s="23"/>
      <c r="E10" s="23"/>
      <c r="F10" s="23"/>
      <c r="G10" s="23"/>
      <c r="I10" s="20"/>
    </row>
    <row r="11" spans="1:9" ht="18" customHeight="1" x14ac:dyDescent="0.3">
      <c r="A11" s="24" t="s">
        <v>8</v>
      </c>
      <c r="B11" s="10"/>
      <c r="C11" s="10"/>
      <c r="E11" s="25"/>
      <c r="F11" s="26"/>
      <c r="G11" s="26"/>
      <c r="I11" s="18"/>
    </row>
    <row r="12" spans="1:9" x14ac:dyDescent="0.3">
      <c r="A12" s="23" t="s">
        <v>34</v>
      </c>
      <c r="B12" s="23"/>
      <c r="C12" s="23"/>
      <c r="D12" s="23"/>
      <c r="E12" s="23"/>
      <c r="F12" s="23"/>
      <c r="G12" s="23"/>
      <c r="I12" s="19"/>
    </row>
    <row r="13" spans="1:9" x14ac:dyDescent="0.3">
      <c r="A13" s="23" t="s">
        <v>35</v>
      </c>
      <c r="B13" s="23"/>
      <c r="C13" s="23"/>
      <c r="D13" s="23"/>
      <c r="E13" s="23"/>
      <c r="F13" s="23"/>
      <c r="G13" s="23"/>
      <c r="I13" s="19"/>
    </row>
    <row r="14" spans="1:9" x14ac:dyDescent="0.3">
      <c r="A14" s="23" t="s">
        <v>36</v>
      </c>
      <c r="B14" s="23"/>
      <c r="C14" s="23"/>
      <c r="D14" s="23"/>
      <c r="E14" s="23"/>
      <c r="F14" s="23"/>
      <c r="G14" s="23"/>
      <c r="I14" s="17"/>
    </row>
    <row r="15" spans="1:9" x14ac:dyDescent="0.3">
      <c r="A15" s="23" t="s">
        <v>37</v>
      </c>
      <c r="B15" s="23"/>
      <c r="C15" s="23"/>
      <c r="D15" s="23"/>
      <c r="E15" s="23"/>
      <c r="F15" s="23"/>
      <c r="G15" s="23"/>
      <c r="I15" s="19"/>
    </row>
    <row r="16" spans="1:9" x14ac:dyDescent="0.3">
      <c r="A16" s="23" t="s">
        <v>38</v>
      </c>
      <c r="B16" s="23"/>
      <c r="C16" s="23"/>
      <c r="D16" s="23"/>
      <c r="E16" s="23"/>
      <c r="F16" s="23"/>
      <c r="G16" s="23"/>
      <c r="I16" s="19"/>
    </row>
    <row r="17" spans="1:9" x14ac:dyDescent="0.3">
      <c r="A17" s="30" t="s">
        <v>39</v>
      </c>
      <c r="B17" s="23"/>
      <c r="C17" s="23"/>
      <c r="D17" s="23"/>
      <c r="E17" s="23"/>
      <c r="F17" s="23"/>
      <c r="G17" s="23"/>
      <c r="I17" s="17"/>
    </row>
    <row r="18" spans="1:9" x14ac:dyDescent="0.3">
      <c r="A18" s="4"/>
      <c r="B18" s="4"/>
      <c r="C18" s="4"/>
      <c r="D18" s="4"/>
      <c r="E18" s="4"/>
      <c r="F18" s="4"/>
      <c r="G18" s="4"/>
      <c r="I18" s="20"/>
    </row>
    <row r="19" spans="1:9" ht="18" customHeight="1" x14ac:dyDescent="0.3">
      <c r="A19" s="11" t="s">
        <v>15</v>
      </c>
      <c r="B19" s="201" t="s">
        <v>16</v>
      </c>
      <c r="C19" s="202"/>
      <c r="D19" s="202"/>
      <c r="E19" s="14" t="s">
        <v>17</v>
      </c>
      <c r="F19" s="14" t="s">
        <v>19</v>
      </c>
      <c r="G19" s="15" t="s">
        <v>20</v>
      </c>
      <c r="I19" s="20"/>
    </row>
    <row r="20" spans="1:9" x14ac:dyDescent="0.3">
      <c r="A20" s="94" t="s">
        <v>40</v>
      </c>
      <c r="B20" s="198" t="s">
        <v>41</v>
      </c>
      <c r="C20" s="199"/>
      <c r="D20" s="200"/>
      <c r="E20" s="12">
        <v>1.02</v>
      </c>
      <c r="F20" s="102">
        <v>85000</v>
      </c>
      <c r="G20" s="103">
        <f t="shared" ref="G20:G27" si="0">E20*F20</f>
        <v>86700</v>
      </c>
      <c r="I20" s="19"/>
    </row>
    <row r="21" spans="1:9" x14ac:dyDescent="0.3">
      <c r="A21" s="94" t="s">
        <v>40</v>
      </c>
      <c r="B21" s="198" t="s">
        <v>42</v>
      </c>
      <c r="C21" s="199"/>
      <c r="D21" s="200"/>
      <c r="E21" s="12">
        <v>1.49</v>
      </c>
      <c r="F21" s="102">
        <v>85000</v>
      </c>
      <c r="G21" s="103">
        <f t="shared" si="0"/>
        <v>126650</v>
      </c>
      <c r="I21" s="20"/>
    </row>
    <row r="22" spans="1:9" x14ac:dyDescent="0.3">
      <c r="A22" s="94" t="s">
        <v>40</v>
      </c>
      <c r="B22" s="198" t="s">
        <v>43</v>
      </c>
      <c r="C22" s="199"/>
      <c r="D22" s="200"/>
      <c r="E22" s="12">
        <v>0.97</v>
      </c>
      <c r="F22" s="102">
        <v>85000</v>
      </c>
      <c r="G22" s="103">
        <f t="shared" si="0"/>
        <v>82450</v>
      </c>
      <c r="I22" s="20"/>
    </row>
    <row r="23" spans="1:9" x14ac:dyDescent="0.3">
      <c r="A23" s="94" t="s">
        <v>40</v>
      </c>
      <c r="B23" s="198" t="s">
        <v>44</v>
      </c>
      <c r="C23" s="199"/>
      <c r="D23" s="200"/>
      <c r="E23" s="12">
        <v>1.61</v>
      </c>
      <c r="F23" s="102">
        <v>85000</v>
      </c>
      <c r="G23" s="103">
        <f t="shared" si="0"/>
        <v>136850</v>
      </c>
      <c r="I23" s="20"/>
    </row>
    <row r="24" spans="1:9" x14ac:dyDescent="0.3">
      <c r="A24" s="94" t="s">
        <v>40</v>
      </c>
      <c r="B24" s="198" t="s">
        <v>45</v>
      </c>
      <c r="C24" s="199"/>
      <c r="D24" s="200"/>
      <c r="E24" s="12">
        <v>2.0299999999999998</v>
      </c>
      <c r="F24" s="102">
        <v>85000</v>
      </c>
      <c r="G24" s="103">
        <f t="shared" si="0"/>
        <v>172549.99999999997</v>
      </c>
      <c r="I24" s="20"/>
    </row>
    <row r="25" spans="1:9" x14ac:dyDescent="0.3">
      <c r="A25" s="94" t="s">
        <v>40</v>
      </c>
      <c r="B25" s="198" t="s">
        <v>46</v>
      </c>
      <c r="C25" s="199"/>
      <c r="D25" s="200"/>
      <c r="E25" s="12">
        <v>1.1299999999999999</v>
      </c>
      <c r="F25" s="102">
        <v>85000</v>
      </c>
      <c r="G25" s="103">
        <f t="shared" si="0"/>
        <v>96049.999999999985</v>
      </c>
      <c r="I25" s="20"/>
    </row>
    <row r="26" spans="1:9" x14ac:dyDescent="0.3">
      <c r="A26" s="94" t="s">
        <v>40</v>
      </c>
      <c r="B26" s="198" t="s">
        <v>47</v>
      </c>
      <c r="C26" s="199"/>
      <c r="D26" s="200"/>
      <c r="E26" s="12">
        <v>1</v>
      </c>
      <c r="F26" s="102">
        <v>85000</v>
      </c>
      <c r="G26" s="103">
        <f t="shared" si="0"/>
        <v>85000</v>
      </c>
      <c r="I26" s="20"/>
    </row>
    <row r="27" spans="1:9" x14ac:dyDescent="0.3">
      <c r="A27" s="94" t="s">
        <v>40</v>
      </c>
      <c r="B27" s="198" t="s">
        <v>48</v>
      </c>
      <c r="C27" s="199"/>
      <c r="D27" s="200"/>
      <c r="E27" s="12">
        <v>0.35</v>
      </c>
      <c r="F27" s="102">
        <v>85000</v>
      </c>
      <c r="G27" s="103">
        <f t="shared" si="0"/>
        <v>29749.999999999996</v>
      </c>
      <c r="I27" s="20"/>
    </row>
    <row r="28" spans="1:9" x14ac:dyDescent="0.3">
      <c r="A28" s="94"/>
      <c r="B28" s="198"/>
      <c r="C28" s="199"/>
      <c r="D28" s="200"/>
      <c r="E28" s="12"/>
      <c r="F28" s="102"/>
      <c r="G28" s="103"/>
      <c r="I28" s="20"/>
    </row>
    <row r="29" spans="1:9" x14ac:dyDescent="0.3">
      <c r="A29" s="94"/>
      <c r="B29" s="198"/>
      <c r="C29" s="199"/>
      <c r="D29" s="200"/>
      <c r="E29" s="12"/>
      <c r="F29" s="102"/>
      <c r="G29" s="103"/>
      <c r="I29" s="20"/>
    </row>
    <row r="30" spans="1:9" x14ac:dyDescent="0.3">
      <c r="A30" s="94"/>
      <c r="B30" s="198"/>
      <c r="C30" s="199"/>
      <c r="D30" s="200"/>
      <c r="E30" s="12"/>
      <c r="F30" s="102"/>
      <c r="G30" s="103"/>
      <c r="I30" s="20"/>
    </row>
    <row r="31" spans="1:9" x14ac:dyDescent="0.3">
      <c r="A31" s="94"/>
      <c r="B31" s="198"/>
      <c r="C31" s="199"/>
      <c r="D31" s="200"/>
      <c r="E31" s="12"/>
      <c r="F31" s="102"/>
      <c r="G31" s="103"/>
      <c r="I31" s="20"/>
    </row>
    <row r="32" spans="1:9" x14ac:dyDescent="0.3">
      <c r="A32" s="94"/>
      <c r="B32" s="198"/>
      <c r="C32" s="199"/>
      <c r="D32" s="200"/>
      <c r="E32" s="12"/>
      <c r="F32" s="102"/>
      <c r="G32" s="103"/>
      <c r="I32" s="20"/>
    </row>
    <row r="33" spans="1:9" x14ac:dyDescent="0.3">
      <c r="A33" s="94"/>
      <c r="B33" s="198"/>
      <c r="C33" s="199"/>
      <c r="D33" s="200"/>
      <c r="E33" s="12"/>
      <c r="F33" s="102"/>
      <c r="G33" s="103"/>
      <c r="I33" s="20"/>
    </row>
    <row r="34" spans="1:9" x14ac:dyDescent="0.3">
      <c r="A34" s="94"/>
      <c r="B34" s="198"/>
      <c r="C34" s="199"/>
      <c r="D34" s="200"/>
      <c r="E34" s="12"/>
      <c r="F34" s="102"/>
      <c r="G34" s="103"/>
      <c r="I34" s="20"/>
    </row>
    <row r="35" spans="1:9" x14ac:dyDescent="0.3">
      <c r="A35" s="94"/>
      <c r="B35" s="198"/>
      <c r="C35" s="199"/>
      <c r="D35" s="200"/>
      <c r="E35" s="12"/>
      <c r="F35" s="102"/>
      <c r="G35" s="103"/>
      <c r="I35" s="20"/>
    </row>
    <row r="36" spans="1:9" x14ac:dyDescent="0.3">
      <c r="A36" s="94"/>
      <c r="B36" s="198"/>
      <c r="C36" s="199"/>
      <c r="D36" s="200"/>
      <c r="E36" s="12"/>
      <c r="F36" s="102"/>
      <c r="G36" s="103"/>
      <c r="I36" s="20"/>
    </row>
    <row r="37" spans="1:9" x14ac:dyDescent="0.3">
      <c r="A37" s="94"/>
      <c r="B37" s="198"/>
      <c r="C37" s="199"/>
      <c r="D37" s="200"/>
      <c r="E37" s="12"/>
      <c r="F37" s="102"/>
      <c r="G37" s="103"/>
      <c r="I37" s="20"/>
    </row>
    <row r="38" spans="1:9" ht="18" customHeight="1" x14ac:dyDescent="0.3">
      <c r="A38" s="196"/>
      <c r="B38" s="197"/>
      <c r="C38" s="197"/>
      <c r="D38" s="197"/>
      <c r="E38" s="8" t="s">
        <v>21</v>
      </c>
      <c r="F38" s="5" t="s">
        <v>22</v>
      </c>
      <c r="G38" s="104">
        <f>SUM(G20:G37)</f>
        <v>816000</v>
      </c>
      <c r="I38" s="20"/>
    </row>
    <row r="39" spans="1:9" ht="18" customHeight="1" x14ac:dyDescent="0.3">
      <c r="A39" s="158" t="s">
        <v>23</v>
      </c>
      <c r="B39" s="159"/>
      <c r="C39" s="159"/>
      <c r="D39" s="160"/>
      <c r="E39" s="13"/>
      <c r="F39" s="23" t="s">
        <v>24</v>
      </c>
      <c r="G39" s="99">
        <f>G38*0.19</f>
        <v>155040</v>
      </c>
      <c r="I39" s="19"/>
    </row>
    <row r="40" spans="1:9" ht="18" customHeight="1" x14ac:dyDescent="0.3">
      <c r="A40" s="161" t="s">
        <v>49</v>
      </c>
      <c r="B40" s="162"/>
      <c r="C40" s="162"/>
      <c r="D40" s="163"/>
      <c r="E40" s="4"/>
      <c r="F40" s="23" t="s">
        <v>26</v>
      </c>
      <c r="G40" s="99">
        <v>0</v>
      </c>
      <c r="I40" s="19"/>
    </row>
    <row r="41" spans="1:9" ht="18" customHeight="1" thickBot="1" x14ac:dyDescent="0.35">
      <c r="A41" s="164"/>
      <c r="B41" s="144"/>
      <c r="C41" s="144"/>
      <c r="D41" s="165"/>
      <c r="E41" s="4"/>
      <c r="F41" s="6" t="s">
        <v>27</v>
      </c>
      <c r="G41" s="100">
        <v>0</v>
      </c>
      <c r="I41" s="20"/>
    </row>
    <row r="42" spans="1:9" ht="18" customHeight="1" thickTop="1" x14ac:dyDescent="0.3">
      <c r="A42" s="164"/>
      <c r="B42" s="144"/>
      <c r="C42" s="144"/>
      <c r="D42" s="165"/>
      <c r="E42" s="4"/>
      <c r="F42" s="7" t="s">
        <v>20</v>
      </c>
      <c r="G42" s="101">
        <f>SUM(G38:G41)</f>
        <v>971040</v>
      </c>
      <c r="I42" s="19"/>
    </row>
    <row r="43" spans="1:9" ht="18" customHeight="1" x14ac:dyDescent="0.3">
      <c r="A43" s="164"/>
      <c r="B43" s="144"/>
      <c r="C43" s="144"/>
      <c r="D43" s="165"/>
      <c r="E43" s="4"/>
    </row>
    <row r="44" spans="1:9" ht="18" customHeight="1" x14ac:dyDescent="0.3">
      <c r="A44" s="166"/>
      <c r="B44" s="167"/>
      <c r="C44" s="167"/>
      <c r="D44" s="168"/>
      <c r="E44" s="4"/>
    </row>
    <row r="45" spans="1:9" ht="18" customHeight="1" x14ac:dyDescent="0.3">
      <c r="A45" s="92"/>
      <c r="B45" s="92"/>
      <c r="C45" s="92"/>
      <c r="D45" s="92"/>
      <c r="E45" s="4"/>
    </row>
    <row r="46" spans="1:9" x14ac:dyDescent="0.3">
      <c r="A46" s="169" t="s">
        <v>28</v>
      </c>
      <c r="B46" s="144"/>
      <c r="C46" s="144"/>
      <c r="D46" s="144"/>
      <c r="E46" s="144"/>
      <c r="F46" s="144"/>
      <c r="G46" s="144"/>
      <c r="I46" s="20"/>
    </row>
    <row r="47" spans="1:9" x14ac:dyDescent="0.3">
      <c r="A47" s="169" t="s">
        <v>50</v>
      </c>
      <c r="B47" s="144"/>
      <c r="C47" s="144"/>
      <c r="D47" s="144"/>
      <c r="E47" s="144"/>
      <c r="F47" s="144"/>
      <c r="G47" s="144"/>
      <c r="I47" s="20"/>
    </row>
    <row r="48" spans="1:9" x14ac:dyDescent="0.3">
      <c r="I48" s="3"/>
    </row>
  </sheetData>
  <mergeCells count="25">
    <mergeCell ref="B37:D37"/>
    <mergeCell ref="B26:D26"/>
    <mergeCell ref="B19:D19"/>
    <mergeCell ref="B20:D20"/>
    <mergeCell ref="B21:D21"/>
    <mergeCell ref="B22:D22"/>
    <mergeCell ref="B23:D23"/>
    <mergeCell ref="B24:D24"/>
    <mergeCell ref="B25:D25"/>
    <mergeCell ref="A5:C5"/>
    <mergeCell ref="A46:G46"/>
    <mergeCell ref="A47:G47"/>
    <mergeCell ref="A39:D39"/>
    <mergeCell ref="A40:D44"/>
    <mergeCell ref="A38:D38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  <mergeCell ref="B36:D36"/>
  </mergeCells>
  <hyperlinks>
    <hyperlink ref="A17" r:id="rId1" xr:uid="{00000000-0004-0000-0200-000000000000}"/>
  </hyperlinks>
  <printOptions horizontalCentered="1"/>
  <pageMargins left="0.5" right="0.5" top="0.5" bottom="0.5" header="0.3" footer="0.3"/>
  <pageSetup fitToHeight="0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pageSetUpPr fitToPage="1"/>
  </sheetPr>
  <dimension ref="A5:J49"/>
  <sheetViews>
    <sheetView showGridLines="0" view="pageBreakPreview" topLeftCell="A6" zoomScale="80" zoomScaleNormal="100" zoomScaleSheetLayoutView="80" workbookViewId="0">
      <selection activeCell="B20" sqref="B20:D20"/>
    </sheetView>
  </sheetViews>
  <sheetFormatPr defaultColWidth="8.85546875" defaultRowHeight="15" x14ac:dyDescent="0.3"/>
  <cols>
    <col min="1" max="1" width="16.7109375" customWidth="1"/>
    <col min="2" max="2" width="11.42578125" customWidth="1"/>
    <col min="3" max="3" width="11.28515625" customWidth="1"/>
    <col min="4" max="4" width="16.7109375" customWidth="1"/>
    <col min="5" max="6" width="11.7109375" customWidth="1"/>
    <col min="7" max="7" width="12.7109375" customWidth="1"/>
    <col min="8" max="8" width="14.140625" customWidth="1"/>
    <col min="9" max="9" width="6.42578125" customWidth="1"/>
    <col min="10" max="10" width="24.140625" customWidth="1"/>
    <col min="11" max="12" width="8.85546875" customWidth="1"/>
  </cols>
  <sheetData>
    <row r="5" spans="1:10" ht="33.75" customHeight="1" x14ac:dyDescent="0.45">
      <c r="A5" s="143" t="s">
        <v>30</v>
      </c>
      <c r="B5" s="144"/>
      <c r="C5" s="144"/>
      <c r="D5" s="27"/>
      <c r="E5" s="27"/>
      <c r="F5" s="27"/>
      <c r="G5" s="28"/>
      <c r="H5" s="29" t="s">
        <v>1</v>
      </c>
    </row>
    <row r="6" spans="1:10" x14ac:dyDescent="0.3">
      <c r="A6" s="23" t="s">
        <v>32</v>
      </c>
      <c r="B6" s="23"/>
      <c r="C6" s="23"/>
      <c r="D6" s="23"/>
      <c r="E6" s="23"/>
      <c r="F6" s="23"/>
      <c r="G6" s="9" t="s">
        <v>3</v>
      </c>
      <c r="H6" s="21">
        <f ca="1">TODAY()</f>
        <v>45294</v>
      </c>
      <c r="J6" s="1"/>
    </row>
    <row r="7" spans="1:10" x14ac:dyDescent="0.3">
      <c r="A7" s="23" t="s">
        <v>4</v>
      </c>
      <c r="B7" s="23"/>
      <c r="C7" s="23"/>
      <c r="D7" s="23"/>
      <c r="E7" s="23"/>
      <c r="F7" s="23"/>
      <c r="G7" s="9" t="s">
        <v>5</v>
      </c>
      <c r="H7" s="22">
        <v>2</v>
      </c>
      <c r="J7" s="16"/>
    </row>
    <row r="8" spans="1:10" x14ac:dyDescent="0.3">
      <c r="A8" s="23" t="s">
        <v>33</v>
      </c>
      <c r="B8" s="23"/>
      <c r="C8" s="23"/>
      <c r="D8" s="23"/>
      <c r="E8" s="23"/>
      <c r="F8" s="23"/>
      <c r="G8" s="2"/>
      <c r="H8" s="23"/>
      <c r="J8" s="20"/>
    </row>
    <row r="9" spans="1:10" x14ac:dyDescent="0.3">
      <c r="A9" s="23" t="s">
        <v>31</v>
      </c>
      <c r="B9" s="23"/>
      <c r="C9" s="23"/>
      <c r="D9" s="23"/>
      <c r="E9" s="23"/>
      <c r="F9" s="23"/>
      <c r="G9" s="23"/>
      <c r="H9" s="23"/>
      <c r="J9" s="19"/>
    </row>
    <row r="10" spans="1:10" x14ac:dyDescent="0.3">
      <c r="A10" s="23"/>
      <c r="B10" s="23"/>
      <c r="C10" s="23"/>
      <c r="D10" s="23"/>
      <c r="E10" s="23"/>
      <c r="F10" s="23"/>
      <c r="G10" s="23"/>
      <c r="H10" s="23"/>
      <c r="J10" s="20"/>
    </row>
    <row r="11" spans="1:10" ht="18" customHeight="1" x14ac:dyDescent="0.3">
      <c r="A11" s="24" t="s">
        <v>8</v>
      </c>
      <c r="B11" s="10"/>
      <c r="C11" s="10"/>
      <c r="E11" s="25"/>
      <c r="F11" s="25"/>
      <c r="G11" s="26"/>
      <c r="H11" s="26"/>
      <c r="J11" s="18"/>
    </row>
    <row r="12" spans="1:10" x14ac:dyDescent="0.3">
      <c r="A12" s="23" t="s">
        <v>51</v>
      </c>
      <c r="B12" s="23"/>
      <c r="C12" s="23"/>
      <c r="D12" s="23"/>
      <c r="E12" s="23"/>
      <c r="F12" s="23"/>
      <c r="G12" s="23"/>
      <c r="H12" s="23"/>
      <c r="J12" s="19"/>
    </row>
    <row r="13" spans="1:10" x14ac:dyDescent="0.3">
      <c r="A13" s="23" t="s">
        <v>52</v>
      </c>
      <c r="B13" s="23"/>
      <c r="C13" s="23"/>
      <c r="D13" s="23"/>
      <c r="E13" s="23"/>
      <c r="F13" s="23"/>
      <c r="G13" s="23"/>
      <c r="H13" s="23"/>
      <c r="J13" s="19"/>
    </row>
    <row r="14" spans="1:10" x14ac:dyDescent="0.3">
      <c r="A14" s="23" t="s">
        <v>53</v>
      </c>
      <c r="B14" s="23"/>
      <c r="C14" s="23"/>
      <c r="D14" s="23"/>
      <c r="E14" s="23"/>
      <c r="F14" s="23"/>
      <c r="G14" s="23"/>
      <c r="H14" s="23"/>
      <c r="J14" s="19"/>
    </row>
    <row r="15" spans="1:10" x14ac:dyDescent="0.3">
      <c r="A15" s="23" t="s">
        <v>54</v>
      </c>
      <c r="B15" s="23"/>
      <c r="C15" s="23"/>
      <c r="D15" s="23"/>
      <c r="E15" s="23"/>
      <c r="F15" s="23"/>
      <c r="G15" s="23"/>
      <c r="H15" s="23"/>
      <c r="J15" s="17"/>
    </row>
    <row r="16" spans="1:10" x14ac:dyDescent="0.3">
      <c r="A16" s="23" t="s">
        <v>37</v>
      </c>
      <c r="B16" s="23"/>
      <c r="C16" s="23"/>
      <c r="D16" s="23"/>
      <c r="E16" s="23"/>
      <c r="F16" s="23"/>
      <c r="G16" s="23"/>
      <c r="H16" s="23"/>
      <c r="J16" s="19"/>
    </row>
    <row r="17" spans="1:10" x14ac:dyDescent="0.3">
      <c r="A17" s="23" t="s">
        <v>55</v>
      </c>
      <c r="B17" s="23"/>
      <c r="C17" s="23"/>
      <c r="D17" s="23"/>
      <c r="E17" s="23"/>
      <c r="F17" s="23"/>
      <c r="G17" s="23"/>
      <c r="H17" s="23"/>
      <c r="J17" s="19"/>
    </row>
    <row r="18" spans="1:10" x14ac:dyDescent="0.3">
      <c r="A18" s="30" t="s">
        <v>56</v>
      </c>
      <c r="B18" s="23"/>
      <c r="C18" s="23"/>
      <c r="D18" s="23"/>
      <c r="E18" s="23"/>
      <c r="F18" s="23"/>
      <c r="G18" s="23"/>
      <c r="H18" s="23"/>
      <c r="J18" s="17"/>
    </row>
    <row r="19" spans="1:10" x14ac:dyDescent="0.3">
      <c r="A19" s="4"/>
      <c r="B19" s="4"/>
      <c r="C19" s="4"/>
      <c r="D19" s="4"/>
      <c r="E19" s="4"/>
      <c r="F19" s="4"/>
      <c r="G19" s="4"/>
      <c r="H19" s="4"/>
      <c r="J19" s="20"/>
    </row>
    <row r="20" spans="1:10" ht="18" customHeight="1" x14ac:dyDescent="0.3">
      <c r="A20" s="11" t="s">
        <v>15</v>
      </c>
      <c r="B20" s="201" t="s">
        <v>16</v>
      </c>
      <c r="C20" s="202"/>
      <c r="D20" s="202"/>
      <c r="E20" s="14" t="s">
        <v>17</v>
      </c>
      <c r="F20" s="14" t="s">
        <v>18</v>
      </c>
      <c r="G20" s="14" t="s">
        <v>19</v>
      </c>
      <c r="H20" s="15" t="s">
        <v>20</v>
      </c>
      <c r="J20" s="20"/>
    </row>
    <row r="21" spans="1:10" x14ac:dyDescent="0.3">
      <c r="A21" s="12">
        <v>513007</v>
      </c>
      <c r="B21" s="203" t="s">
        <v>57</v>
      </c>
      <c r="C21" s="199"/>
      <c r="D21" s="200"/>
      <c r="E21" s="12">
        <v>80</v>
      </c>
      <c r="F21" s="12" t="s">
        <v>18</v>
      </c>
      <c r="G21" s="102">
        <v>2725</v>
      </c>
      <c r="H21" s="103">
        <f t="shared" ref="H21:H31" si="0">E21*G21</f>
        <v>218000</v>
      </c>
      <c r="J21" s="19"/>
    </row>
    <row r="22" spans="1:10" x14ac:dyDescent="0.3">
      <c r="A22" s="12">
        <v>517671</v>
      </c>
      <c r="B22" s="203" t="s">
        <v>58</v>
      </c>
      <c r="C22" s="199"/>
      <c r="D22" s="200"/>
      <c r="E22" s="12">
        <v>150</v>
      </c>
      <c r="F22" s="12" t="s">
        <v>18</v>
      </c>
      <c r="G22" s="102">
        <v>1160</v>
      </c>
      <c r="H22" s="103">
        <f t="shared" si="0"/>
        <v>174000</v>
      </c>
      <c r="J22" s="20"/>
    </row>
    <row r="23" spans="1:10" x14ac:dyDescent="0.3">
      <c r="A23" s="12">
        <v>514393</v>
      </c>
      <c r="B23" s="203" t="s">
        <v>59</v>
      </c>
      <c r="C23" s="199"/>
      <c r="D23" s="200"/>
      <c r="E23" s="12">
        <v>13</v>
      </c>
      <c r="F23" s="12" t="s">
        <v>60</v>
      </c>
      <c r="G23" s="102">
        <v>11590</v>
      </c>
      <c r="H23" s="103">
        <f t="shared" si="0"/>
        <v>150670</v>
      </c>
      <c r="J23" s="20"/>
    </row>
    <row r="24" spans="1:10" x14ac:dyDescent="0.3">
      <c r="A24" s="12">
        <v>513631</v>
      </c>
      <c r="B24" s="203" t="s">
        <v>61</v>
      </c>
      <c r="C24" s="199"/>
      <c r="D24" s="200"/>
      <c r="E24" s="12">
        <v>18</v>
      </c>
      <c r="F24" s="12" t="s">
        <v>60</v>
      </c>
      <c r="G24" s="102">
        <v>6895</v>
      </c>
      <c r="H24" s="103">
        <f t="shared" si="0"/>
        <v>124110</v>
      </c>
      <c r="J24" s="20"/>
    </row>
    <row r="25" spans="1:10" x14ac:dyDescent="0.3">
      <c r="A25" s="12">
        <v>505552</v>
      </c>
      <c r="B25" s="203" t="s">
        <v>62</v>
      </c>
      <c r="C25" s="199"/>
      <c r="D25" s="200"/>
      <c r="E25" s="12">
        <v>2</v>
      </c>
      <c r="F25" s="12" t="s">
        <v>18</v>
      </c>
      <c r="G25" s="102">
        <v>9495</v>
      </c>
      <c r="H25" s="103">
        <f t="shared" si="0"/>
        <v>18990</v>
      </c>
      <c r="J25" s="20"/>
    </row>
    <row r="26" spans="1:10" x14ac:dyDescent="0.3">
      <c r="A26" s="12">
        <v>510704</v>
      </c>
      <c r="B26" s="203" t="s">
        <v>63</v>
      </c>
      <c r="C26" s="199"/>
      <c r="D26" s="200"/>
      <c r="E26" s="12">
        <v>14</v>
      </c>
      <c r="F26" s="12" t="s">
        <v>60</v>
      </c>
      <c r="G26" s="102">
        <v>4950</v>
      </c>
      <c r="H26" s="103">
        <f t="shared" si="0"/>
        <v>69300</v>
      </c>
      <c r="J26" s="20"/>
    </row>
    <row r="27" spans="1:10" x14ac:dyDescent="0.3">
      <c r="A27" s="12">
        <v>506687</v>
      </c>
      <c r="B27" s="203" t="s">
        <v>64</v>
      </c>
      <c r="C27" s="199"/>
      <c r="D27" s="200"/>
      <c r="E27" s="12">
        <v>2</v>
      </c>
      <c r="F27" s="12" t="s">
        <v>18</v>
      </c>
      <c r="G27" s="102">
        <v>7720</v>
      </c>
      <c r="H27" s="103">
        <f t="shared" si="0"/>
        <v>15440</v>
      </c>
      <c r="J27" s="20"/>
    </row>
    <row r="28" spans="1:10" x14ac:dyDescent="0.3">
      <c r="A28" s="12">
        <v>504642</v>
      </c>
      <c r="B28" s="203" t="s">
        <v>65</v>
      </c>
      <c r="C28" s="199"/>
      <c r="D28" s="200"/>
      <c r="E28" s="12">
        <v>5</v>
      </c>
      <c r="F28" s="12" t="s">
        <v>18</v>
      </c>
      <c r="G28" s="102">
        <v>415</v>
      </c>
      <c r="H28" s="103">
        <f t="shared" si="0"/>
        <v>2075</v>
      </c>
      <c r="J28" s="20"/>
    </row>
    <row r="29" spans="1:10" x14ac:dyDescent="0.3">
      <c r="A29" s="12">
        <v>516126</v>
      </c>
      <c r="B29" s="198" t="s">
        <v>66</v>
      </c>
      <c r="C29" s="199"/>
      <c r="D29" s="200"/>
      <c r="E29" s="12">
        <v>2</v>
      </c>
      <c r="F29" s="12" t="s">
        <v>18</v>
      </c>
      <c r="G29" s="102">
        <v>3470</v>
      </c>
      <c r="H29" s="103">
        <f t="shared" si="0"/>
        <v>6940</v>
      </c>
      <c r="J29" s="20"/>
    </row>
    <row r="30" spans="1:10" x14ac:dyDescent="0.3">
      <c r="A30" s="12">
        <v>521324</v>
      </c>
      <c r="B30" s="198" t="s">
        <v>67</v>
      </c>
      <c r="C30" s="199"/>
      <c r="D30" s="200"/>
      <c r="E30" s="12">
        <v>17</v>
      </c>
      <c r="F30" s="12" t="s">
        <v>68</v>
      </c>
      <c r="G30" s="102">
        <v>12073</v>
      </c>
      <c r="H30" s="103">
        <f t="shared" si="0"/>
        <v>205241</v>
      </c>
      <c r="J30" s="20"/>
    </row>
    <row r="31" spans="1:10" x14ac:dyDescent="0.3">
      <c r="A31" s="12">
        <v>505212</v>
      </c>
      <c r="B31" s="198" t="s">
        <v>69</v>
      </c>
      <c r="C31" s="199"/>
      <c r="D31" s="200"/>
      <c r="E31" s="12">
        <v>4</v>
      </c>
      <c r="F31" s="12" t="s">
        <v>18</v>
      </c>
      <c r="G31" s="102">
        <v>4045</v>
      </c>
      <c r="H31" s="103">
        <f t="shared" si="0"/>
        <v>16180</v>
      </c>
      <c r="J31" s="20"/>
    </row>
    <row r="32" spans="1:10" x14ac:dyDescent="0.3">
      <c r="A32" s="94"/>
      <c r="B32" s="198"/>
      <c r="C32" s="199"/>
      <c r="D32" s="200"/>
      <c r="E32" s="12"/>
      <c r="F32" s="12"/>
      <c r="G32" s="102"/>
      <c r="H32" s="103"/>
      <c r="J32" s="20"/>
    </row>
    <row r="33" spans="1:10" x14ac:dyDescent="0.3">
      <c r="A33" s="94"/>
      <c r="B33" s="198"/>
      <c r="C33" s="199"/>
      <c r="D33" s="200"/>
      <c r="E33" s="12"/>
      <c r="F33" s="12"/>
      <c r="G33" s="102"/>
      <c r="H33" s="103"/>
      <c r="J33" s="20"/>
    </row>
    <row r="34" spans="1:10" x14ac:dyDescent="0.3">
      <c r="A34" s="94"/>
      <c r="B34" s="198"/>
      <c r="C34" s="199"/>
      <c r="D34" s="200"/>
      <c r="E34" s="12"/>
      <c r="F34" s="12"/>
      <c r="G34" s="102"/>
      <c r="H34" s="103"/>
      <c r="J34" s="20"/>
    </row>
    <row r="35" spans="1:10" x14ac:dyDescent="0.3">
      <c r="A35" s="94"/>
      <c r="B35" s="198"/>
      <c r="C35" s="199"/>
      <c r="D35" s="200"/>
      <c r="E35" s="12"/>
      <c r="F35" s="12"/>
      <c r="G35" s="102"/>
      <c r="H35" s="103"/>
      <c r="J35" s="20"/>
    </row>
    <row r="36" spans="1:10" x14ac:dyDescent="0.3">
      <c r="A36" s="94"/>
      <c r="B36" s="198"/>
      <c r="C36" s="199"/>
      <c r="D36" s="200"/>
      <c r="E36" s="12"/>
      <c r="F36" s="12"/>
      <c r="G36" s="102"/>
      <c r="H36" s="103"/>
      <c r="J36" s="20"/>
    </row>
    <row r="37" spans="1:10" x14ac:dyDescent="0.3">
      <c r="A37" s="94"/>
      <c r="B37" s="198"/>
      <c r="C37" s="199"/>
      <c r="D37" s="200"/>
      <c r="E37" s="12"/>
      <c r="F37" s="12"/>
      <c r="G37" s="102"/>
      <c r="H37" s="103"/>
      <c r="J37" s="20"/>
    </row>
    <row r="38" spans="1:10" x14ac:dyDescent="0.3">
      <c r="A38" s="94"/>
      <c r="B38" s="198"/>
      <c r="C38" s="199"/>
      <c r="D38" s="200"/>
      <c r="E38" s="12"/>
      <c r="F38" s="12"/>
      <c r="G38" s="102"/>
      <c r="H38" s="103"/>
      <c r="J38" s="20"/>
    </row>
    <row r="39" spans="1:10" ht="18" customHeight="1" x14ac:dyDescent="0.3">
      <c r="A39" s="196"/>
      <c r="B39" s="197"/>
      <c r="C39" s="197"/>
      <c r="D39" s="197"/>
      <c r="E39" s="8" t="s">
        <v>21</v>
      </c>
      <c r="F39" s="8"/>
      <c r="G39" s="5" t="s">
        <v>22</v>
      </c>
      <c r="H39" s="104">
        <f>SUM(H21:H38)</f>
        <v>1000946</v>
      </c>
      <c r="J39" s="20"/>
    </row>
    <row r="40" spans="1:10" ht="18" customHeight="1" x14ac:dyDescent="0.3">
      <c r="A40" s="158" t="s">
        <v>23</v>
      </c>
      <c r="B40" s="159"/>
      <c r="C40" s="159"/>
      <c r="D40" s="160"/>
      <c r="E40" s="13"/>
      <c r="F40" s="13"/>
      <c r="G40" s="23" t="s">
        <v>24</v>
      </c>
      <c r="H40" s="99">
        <f>H39*0.19</f>
        <v>190179.74</v>
      </c>
      <c r="J40" s="19"/>
    </row>
    <row r="41" spans="1:10" ht="18" customHeight="1" x14ac:dyDescent="0.3">
      <c r="A41" s="161" t="s">
        <v>70</v>
      </c>
      <c r="B41" s="162"/>
      <c r="C41" s="162"/>
      <c r="D41" s="163"/>
      <c r="E41" s="4"/>
      <c r="F41" s="4"/>
      <c r="G41" s="23" t="s">
        <v>26</v>
      </c>
      <c r="H41" s="99">
        <v>0</v>
      </c>
      <c r="J41" s="19"/>
    </row>
    <row r="42" spans="1:10" ht="18" customHeight="1" thickBot="1" x14ac:dyDescent="0.35">
      <c r="A42" s="164"/>
      <c r="B42" s="144"/>
      <c r="C42" s="144"/>
      <c r="D42" s="165"/>
      <c r="E42" s="4"/>
      <c r="F42" s="4"/>
      <c r="G42" s="6" t="s">
        <v>27</v>
      </c>
      <c r="H42" s="100">
        <v>0</v>
      </c>
      <c r="J42" s="20"/>
    </row>
    <row r="43" spans="1:10" ht="18" customHeight="1" thickTop="1" x14ac:dyDescent="0.3">
      <c r="A43" s="164"/>
      <c r="B43" s="144"/>
      <c r="C43" s="144"/>
      <c r="D43" s="165"/>
      <c r="E43" s="4"/>
      <c r="F43" s="4"/>
      <c r="G43" s="7" t="s">
        <v>20</v>
      </c>
      <c r="H43" s="101">
        <f>SUM(H39:H42)</f>
        <v>1191125.74</v>
      </c>
      <c r="J43" s="19"/>
    </row>
    <row r="44" spans="1:10" ht="18" customHeight="1" x14ac:dyDescent="0.3">
      <c r="A44" s="164"/>
      <c r="B44" s="144"/>
      <c r="C44" s="144"/>
      <c r="D44" s="165"/>
      <c r="E44" s="4"/>
      <c r="F44" s="4"/>
    </row>
    <row r="45" spans="1:10" ht="18" customHeight="1" x14ac:dyDescent="0.3">
      <c r="A45" s="166"/>
      <c r="B45" s="167"/>
      <c r="C45" s="167"/>
      <c r="D45" s="168"/>
      <c r="E45" s="4"/>
      <c r="F45" s="4"/>
    </row>
    <row r="46" spans="1:10" ht="18" customHeight="1" x14ac:dyDescent="0.3">
      <c r="A46" s="92"/>
      <c r="B46" s="92"/>
      <c r="C46" s="92"/>
      <c r="D46" s="92"/>
      <c r="E46" s="4"/>
      <c r="F46" s="4"/>
    </row>
    <row r="47" spans="1:10" x14ac:dyDescent="0.3">
      <c r="A47" s="169" t="s">
        <v>28</v>
      </c>
      <c r="B47" s="144"/>
      <c r="C47" s="144"/>
      <c r="D47" s="144"/>
      <c r="E47" s="144"/>
      <c r="F47" s="144"/>
      <c r="G47" s="144"/>
      <c r="H47" s="144"/>
      <c r="J47" s="20"/>
    </row>
    <row r="48" spans="1:10" x14ac:dyDescent="0.3">
      <c r="A48" s="169" t="s">
        <v>29</v>
      </c>
      <c r="B48" s="144"/>
      <c r="C48" s="144"/>
      <c r="D48" s="144"/>
      <c r="E48" s="144"/>
      <c r="F48" s="144"/>
      <c r="G48" s="144"/>
      <c r="H48" s="144"/>
      <c r="J48" s="20"/>
    </row>
    <row r="49" spans="10:10" x14ac:dyDescent="0.3">
      <c r="J49" s="3"/>
    </row>
  </sheetData>
  <mergeCells count="25">
    <mergeCell ref="A48:H48"/>
    <mergeCell ref="B37:D37"/>
    <mergeCell ref="B38:D38"/>
    <mergeCell ref="A39:D39"/>
    <mergeCell ref="A40:D40"/>
    <mergeCell ref="A41:D45"/>
    <mergeCell ref="A47:H47"/>
    <mergeCell ref="B36:D36"/>
    <mergeCell ref="B25:D25"/>
    <mergeCell ref="B26:D26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  <mergeCell ref="B24:D24"/>
    <mergeCell ref="A5:C5"/>
    <mergeCell ref="B20:D20"/>
    <mergeCell ref="B21:D21"/>
    <mergeCell ref="B22:D22"/>
    <mergeCell ref="B23:D23"/>
  </mergeCells>
  <hyperlinks>
    <hyperlink ref="A18" r:id="rId1" xr:uid="{00000000-0004-0000-0300-000000000000}"/>
  </hyperlinks>
  <printOptions horizontalCentered="1"/>
  <pageMargins left="0.5" right="0.5" top="0.5" bottom="0.5" header="0.3" footer="0.3"/>
  <pageSetup scale="95" fitToHeight="0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pageSetUpPr fitToPage="1"/>
  </sheetPr>
  <dimension ref="A5:J49"/>
  <sheetViews>
    <sheetView showGridLines="0" view="pageBreakPreview" zoomScale="80" zoomScaleNormal="100" zoomScaleSheetLayoutView="80" workbookViewId="0">
      <selection activeCell="M20" sqref="M20"/>
    </sheetView>
  </sheetViews>
  <sheetFormatPr defaultColWidth="8.85546875" defaultRowHeight="15" x14ac:dyDescent="0.3"/>
  <cols>
    <col min="1" max="1" width="12.7109375" customWidth="1"/>
    <col min="2" max="2" width="11.42578125" customWidth="1"/>
    <col min="3" max="3" width="11.28515625" customWidth="1"/>
    <col min="4" max="4" width="22" customWidth="1"/>
    <col min="5" max="5" width="11.7109375" customWidth="1"/>
    <col min="6" max="6" width="13.85546875" customWidth="1"/>
    <col min="7" max="7" width="12.5703125" customWidth="1"/>
    <col min="8" max="8" width="14.140625" customWidth="1"/>
    <col min="9" max="9" width="6.42578125" customWidth="1"/>
    <col min="10" max="10" width="24.140625" customWidth="1"/>
    <col min="11" max="12" width="8.85546875" customWidth="1"/>
  </cols>
  <sheetData>
    <row r="5" spans="1:10" ht="33.75" customHeight="1" x14ac:dyDescent="0.45">
      <c r="A5" s="143" t="s">
        <v>30</v>
      </c>
      <c r="B5" s="144"/>
      <c r="C5" s="144"/>
      <c r="D5" s="27"/>
      <c r="E5" s="27"/>
      <c r="F5" s="27"/>
      <c r="G5" s="28"/>
      <c r="H5" s="29" t="s">
        <v>1</v>
      </c>
    </row>
    <row r="6" spans="1:10" x14ac:dyDescent="0.3">
      <c r="A6" s="23" t="s">
        <v>32</v>
      </c>
      <c r="B6" s="23"/>
      <c r="C6" s="23"/>
      <c r="D6" s="23"/>
      <c r="E6" s="23"/>
      <c r="F6" s="23"/>
      <c r="G6" s="9" t="s">
        <v>3</v>
      </c>
      <c r="H6" s="21">
        <f ca="1">TODAY()</f>
        <v>45294</v>
      </c>
      <c r="J6" s="1"/>
    </row>
    <row r="7" spans="1:10" x14ac:dyDescent="0.3">
      <c r="A7" s="23" t="s">
        <v>4</v>
      </c>
      <c r="B7" s="23"/>
      <c r="C7" s="23"/>
      <c r="D7" s="23"/>
      <c r="E7" s="23"/>
      <c r="F7" s="23"/>
      <c r="G7" s="9" t="s">
        <v>5</v>
      </c>
      <c r="H7" s="22">
        <v>3</v>
      </c>
      <c r="J7" s="16"/>
    </row>
    <row r="8" spans="1:10" x14ac:dyDescent="0.3">
      <c r="A8" s="23" t="s">
        <v>33</v>
      </c>
      <c r="B8" s="23"/>
      <c r="C8" s="23"/>
      <c r="D8" s="23"/>
      <c r="E8" s="23"/>
      <c r="F8" s="23"/>
      <c r="G8" s="2"/>
      <c r="H8" s="23"/>
      <c r="J8" s="20"/>
    </row>
    <row r="9" spans="1:10" x14ac:dyDescent="0.3">
      <c r="A9" s="23" t="s">
        <v>31</v>
      </c>
      <c r="B9" s="23"/>
      <c r="C9" s="23"/>
      <c r="D9" s="23"/>
      <c r="E9" s="23"/>
      <c r="F9" s="23"/>
      <c r="G9" s="23"/>
      <c r="H9" s="23"/>
      <c r="J9" s="19"/>
    </row>
    <row r="10" spans="1:10" x14ac:dyDescent="0.3">
      <c r="A10" s="23"/>
      <c r="B10" s="23"/>
      <c r="C10" s="23"/>
      <c r="D10" s="23"/>
      <c r="E10" s="23"/>
      <c r="F10" s="23"/>
      <c r="G10" s="23"/>
      <c r="H10" s="23"/>
      <c r="J10" s="20"/>
    </row>
    <row r="11" spans="1:10" ht="18" customHeight="1" x14ac:dyDescent="0.3">
      <c r="A11" s="24" t="s">
        <v>8</v>
      </c>
      <c r="B11" s="10"/>
      <c r="C11" s="10"/>
      <c r="E11" s="145" t="s">
        <v>9</v>
      </c>
      <c r="F11" s="144"/>
      <c r="G11" s="26"/>
      <c r="H11" s="26"/>
      <c r="J11" s="18"/>
    </row>
    <row r="12" spans="1:10" x14ac:dyDescent="0.3">
      <c r="A12" s="23" t="s">
        <v>51</v>
      </c>
      <c r="B12" s="23"/>
      <c r="C12" s="23"/>
      <c r="D12" s="23"/>
      <c r="E12" s="146" t="s">
        <v>71</v>
      </c>
      <c r="F12" s="144"/>
      <c r="G12" s="144"/>
      <c r="H12" s="144"/>
      <c r="J12" s="19"/>
    </row>
    <row r="13" spans="1:10" x14ac:dyDescent="0.3">
      <c r="A13" s="23" t="s">
        <v>52</v>
      </c>
      <c r="B13" s="23"/>
      <c r="C13" s="23"/>
      <c r="D13" s="23"/>
      <c r="E13" s="23"/>
      <c r="F13" s="23"/>
      <c r="G13" s="23"/>
      <c r="H13" s="23"/>
      <c r="J13" s="19"/>
    </row>
    <row r="14" spans="1:10" x14ac:dyDescent="0.3">
      <c r="A14" s="23" t="s">
        <v>53</v>
      </c>
      <c r="B14" s="23"/>
      <c r="C14" s="23"/>
      <c r="D14" s="23"/>
      <c r="E14" s="145" t="s">
        <v>12</v>
      </c>
      <c r="F14" s="144"/>
      <c r="G14" s="23"/>
      <c r="H14" s="23"/>
      <c r="J14" s="19"/>
    </row>
    <row r="15" spans="1:10" x14ac:dyDescent="0.3">
      <c r="A15" s="23" t="s">
        <v>54</v>
      </c>
      <c r="B15" s="23"/>
      <c r="C15" s="23"/>
      <c r="D15" s="23"/>
      <c r="E15" s="146" t="s">
        <v>72</v>
      </c>
      <c r="F15" s="144"/>
      <c r="G15" s="144"/>
      <c r="H15" s="144"/>
      <c r="J15" s="17"/>
    </row>
    <row r="16" spans="1:10" x14ac:dyDescent="0.3">
      <c r="A16" s="23" t="s">
        <v>37</v>
      </c>
      <c r="B16" s="23"/>
      <c r="C16" s="23"/>
      <c r="D16" s="23"/>
      <c r="E16" s="23"/>
      <c r="F16" s="23"/>
      <c r="G16" s="23"/>
      <c r="H16" s="23"/>
      <c r="J16" s="19"/>
    </row>
    <row r="17" spans="1:10" x14ac:dyDescent="0.3">
      <c r="A17" s="23" t="s">
        <v>55</v>
      </c>
      <c r="B17" s="23"/>
      <c r="C17" s="23"/>
      <c r="D17" s="23"/>
      <c r="E17" s="23"/>
      <c r="F17" s="23"/>
      <c r="G17" s="23"/>
      <c r="H17" s="23"/>
      <c r="J17" s="19"/>
    </row>
    <row r="18" spans="1:10" x14ac:dyDescent="0.3">
      <c r="A18" s="30" t="s">
        <v>56</v>
      </c>
      <c r="B18" s="23"/>
      <c r="C18" s="23"/>
      <c r="D18" s="23"/>
      <c r="E18" s="23"/>
      <c r="F18" s="23"/>
      <c r="G18" s="23"/>
      <c r="H18" s="23"/>
      <c r="J18" s="17"/>
    </row>
    <row r="19" spans="1:10" x14ac:dyDescent="0.3">
      <c r="A19" s="4"/>
      <c r="B19" s="4"/>
      <c r="C19" s="4"/>
      <c r="D19" s="4"/>
      <c r="E19" s="4"/>
      <c r="F19" s="4"/>
      <c r="G19" s="4"/>
      <c r="H19" s="4"/>
      <c r="J19" s="20"/>
    </row>
    <row r="20" spans="1:10" ht="18" customHeight="1" x14ac:dyDescent="0.3">
      <c r="A20" s="11" t="s">
        <v>15</v>
      </c>
      <c r="B20" s="201" t="s">
        <v>16</v>
      </c>
      <c r="C20" s="202"/>
      <c r="D20" s="202"/>
      <c r="E20" s="14" t="s">
        <v>17</v>
      </c>
      <c r="F20" s="14" t="s">
        <v>18</v>
      </c>
      <c r="G20" s="14" t="s">
        <v>19</v>
      </c>
      <c r="H20" s="15" t="s">
        <v>20</v>
      </c>
      <c r="J20" s="20"/>
    </row>
    <row r="21" spans="1:10" x14ac:dyDescent="0.3">
      <c r="A21" s="12">
        <v>513007</v>
      </c>
      <c r="B21" s="203" t="s">
        <v>57</v>
      </c>
      <c r="C21" s="199"/>
      <c r="D21" s="200"/>
      <c r="E21" s="12">
        <v>130</v>
      </c>
      <c r="F21" s="12" t="s">
        <v>18</v>
      </c>
      <c r="G21" s="102">
        <v>2725</v>
      </c>
      <c r="H21" s="103">
        <f t="shared" ref="H21:H27" si="0">E21*G21</f>
        <v>354250</v>
      </c>
      <c r="J21" s="19"/>
    </row>
    <row r="22" spans="1:10" x14ac:dyDescent="0.3">
      <c r="A22" s="12">
        <v>517671</v>
      </c>
      <c r="B22" s="203" t="s">
        <v>58</v>
      </c>
      <c r="C22" s="199"/>
      <c r="D22" s="200"/>
      <c r="E22" s="12">
        <v>70</v>
      </c>
      <c r="F22" s="12" t="s">
        <v>18</v>
      </c>
      <c r="G22" s="102">
        <v>1160</v>
      </c>
      <c r="H22" s="103">
        <f t="shared" si="0"/>
        <v>81200</v>
      </c>
      <c r="J22" s="20"/>
    </row>
    <row r="23" spans="1:10" x14ac:dyDescent="0.3">
      <c r="A23" s="12">
        <v>514393</v>
      </c>
      <c r="B23" s="203" t="s">
        <v>59</v>
      </c>
      <c r="C23" s="199"/>
      <c r="D23" s="200"/>
      <c r="E23" s="12">
        <v>3</v>
      </c>
      <c r="F23" s="12" t="s">
        <v>60</v>
      </c>
      <c r="G23" s="102">
        <v>11590</v>
      </c>
      <c r="H23" s="103">
        <f t="shared" si="0"/>
        <v>34770</v>
      </c>
      <c r="J23" s="20"/>
    </row>
    <row r="24" spans="1:10" x14ac:dyDescent="0.3">
      <c r="A24" s="12">
        <v>513631</v>
      </c>
      <c r="B24" s="203" t="s">
        <v>61</v>
      </c>
      <c r="C24" s="199"/>
      <c r="D24" s="200"/>
      <c r="E24" s="12">
        <v>25</v>
      </c>
      <c r="F24" s="12" t="s">
        <v>60</v>
      </c>
      <c r="G24" s="102">
        <v>6895</v>
      </c>
      <c r="H24" s="103">
        <f t="shared" si="0"/>
        <v>172375</v>
      </c>
      <c r="J24" s="20"/>
    </row>
    <row r="25" spans="1:10" x14ac:dyDescent="0.3">
      <c r="A25" s="12">
        <v>505552</v>
      </c>
      <c r="B25" s="203" t="s">
        <v>62</v>
      </c>
      <c r="C25" s="199"/>
      <c r="D25" s="200"/>
      <c r="E25" s="12">
        <v>3</v>
      </c>
      <c r="F25" s="12" t="s">
        <v>18</v>
      </c>
      <c r="G25" s="102">
        <v>9495</v>
      </c>
      <c r="H25" s="103">
        <f t="shared" si="0"/>
        <v>28485</v>
      </c>
      <c r="J25" s="20"/>
    </row>
    <row r="26" spans="1:10" x14ac:dyDescent="0.3">
      <c r="A26" s="12">
        <v>510704</v>
      </c>
      <c r="B26" s="203" t="s">
        <v>63</v>
      </c>
      <c r="C26" s="199"/>
      <c r="D26" s="200"/>
      <c r="E26" s="12">
        <v>3</v>
      </c>
      <c r="F26" s="12" t="s">
        <v>60</v>
      </c>
      <c r="G26" s="102">
        <v>4950</v>
      </c>
      <c r="H26" s="103">
        <f t="shared" si="0"/>
        <v>14850</v>
      </c>
      <c r="J26" s="20"/>
    </row>
    <row r="27" spans="1:10" x14ac:dyDescent="0.3">
      <c r="A27" s="12">
        <v>517672</v>
      </c>
      <c r="B27" s="203" t="s">
        <v>73</v>
      </c>
      <c r="C27" s="199"/>
      <c r="D27" s="200"/>
      <c r="E27" s="12">
        <v>10</v>
      </c>
      <c r="F27" s="12" t="s">
        <v>18</v>
      </c>
      <c r="G27" s="102">
        <v>1745</v>
      </c>
      <c r="H27" s="103">
        <f t="shared" si="0"/>
        <v>17450</v>
      </c>
      <c r="J27" s="20"/>
    </row>
    <row r="28" spans="1:10" x14ac:dyDescent="0.3">
      <c r="A28" s="12"/>
      <c r="B28" s="203"/>
      <c r="C28" s="199"/>
      <c r="D28" s="200"/>
      <c r="E28" s="12"/>
      <c r="F28" s="12"/>
      <c r="G28" s="102"/>
      <c r="H28" s="103"/>
      <c r="J28" s="20"/>
    </row>
    <row r="29" spans="1:10" x14ac:dyDescent="0.3">
      <c r="A29" s="12"/>
      <c r="B29" s="198"/>
      <c r="C29" s="199"/>
      <c r="D29" s="200"/>
      <c r="E29" s="12"/>
      <c r="F29" s="12"/>
      <c r="G29" s="102"/>
      <c r="H29" s="103"/>
      <c r="J29" s="20"/>
    </row>
    <row r="30" spans="1:10" x14ac:dyDescent="0.3">
      <c r="A30" s="12"/>
      <c r="B30" s="198"/>
      <c r="C30" s="199"/>
      <c r="D30" s="200"/>
      <c r="E30" s="12"/>
      <c r="F30" s="12"/>
      <c r="G30" s="102"/>
      <c r="H30" s="103"/>
      <c r="J30" s="20"/>
    </row>
    <row r="31" spans="1:10" x14ac:dyDescent="0.3">
      <c r="A31" s="12"/>
      <c r="B31" s="198"/>
      <c r="C31" s="199"/>
      <c r="D31" s="200"/>
      <c r="E31" s="12"/>
      <c r="F31" s="12"/>
      <c r="G31" s="102"/>
      <c r="H31" s="103"/>
      <c r="J31" s="20"/>
    </row>
    <row r="32" spans="1:10" x14ac:dyDescent="0.3">
      <c r="A32" s="94"/>
      <c r="B32" s="198"/>
      <c r="C32" s="199"/>
      <c r="D32" s="200"/>
      <c r="E32" s="12"/>
      <c r="F32" s="12"/>
      <c r="G32" s="102"/>
      <c r="H32" s="103"/>
      <c r="J32" s="20"/>
    </row>
    <row r="33" spans="1:10" x14ac:dyDescent="0.3">
      <c r="A33" s="94"/>
      <c r="B33" s="198"/>
      <c r="C33" s="199"/>
      <c r="D33" s="200"/>
      <c r="E33" s="12"/>
      <c r="F33" s="12"/>
      <c r="G33" s="102"/>
      <c r="H33" s="103"/>
      <c r="J33" s="20"/>
    </row>
    <row r="34" spans="1:10" x14ac:dyDescent="0.3">
      <c r="A34" s="94"/>
      <c r="B34" s="198"/>
      <c r="C34" s="199"/>
      <c r="D34" s="200"/>
      <c r="E34" s="12"/>
      <c r="F34" s="12"/>
      <c r="G34" s="102"/>
      <c r="H34" s="103"/>
      <c r="J34" s="20"/>
    </row>
    <row r="35" spans="1:10" x14ac:dyDescent="0.3">
      <c r="A35" s="94"/>
      <c r="B35" s="198"/>
      <c r="C35" s="199"/>
      <c r="D35" s="200"/>
      <c r="E35" s="12"/>
      <c r="F35" s="12"/>
      <c r="G35" s="102"/>
      <c r="H35" s="103"/>
      <c r="J35" s="20"/>
    </row>
    <row r="36" spans="1:10" x14ac:dyDescent="0.3">
      <c r="A36" s="94"/>
      <c r="B36" s="198"/>
      <c r="C36" s="199"/>
      <c r="D36" s="200"/>
      <c r="E36" s="12"/>
      <c r="F36" s="12"/>
      <c r="G36" s="102"/>
      <c r="H36" s="103"/>
      <c r="J36" s="20"/>
    </row>
    <row r="37" spans="1:10" x14ac:dyDescent="0.3">
      <c r="A37" s="94"/>
      <c r="B37" s="198"/>
      <c r="C37" s="199"/>
      <c r="D37" s="200"/>
      <c r="E37" s="12"/>
      <c r="F37" s="12"/>
      <c r="G37" s="102"/>
      <c r="H37" s="103"/>
      <c r="J37" s="20"/>
    </row>
    <row r="38" spans="1:10" x14ac:dyDescent="0.3">
      <c r="A38" s="94"/>
      <c r="B38" s="198"/>
      <c r="C38" s="199"/>
      <c r="D38" s="200"/>
      <c r="E38" s="12"/>
      <c r="F38" s="12"/>
      <c r="G38" s="102"/>
      <c r="H38" s="103"/>
      <c r="J38" s="20"/>
    </row>
    <row r="39" spans="1:10" ht="18" customHeight="1" x14ac:dyDescent="0.3">
      <c r="A39" s="196"/>
      <c r="B39" s="197"/>
      <c r="C39" s="197"/>
      <c r="D39" s="197"/>
      <c r="E39" s="8" t="s">
        <v>21</v>
      </c>
      <c r="F39" s="8"/>
      <c r="G39" s="5" t="s">
        <v>22</v>
      </c>
      <c r="H39" s="104">
        <f>SUM(H21:H38)</f>
        <v>703380</v>
      </c>
      <c r="J39" s="20"/>
    </row>
    <row r="40" spans="1:10" ht="18" customHeight="1" x14ac:dyDescent="0.3">
      <c r="A40" s="158" t="s">
        <v>23</v>
      </c>
      <c r="B40" s="159"/>
      <c r="C40" s="159"/>
      <c r="D40" s="160"/>
      <c r="E40" s="13"/>
      <c r="F40" s="13"/>
      <c r="G40" s="23" t="s">
        <v>24</v>
      </c>
      <c r="H40" s="99">
        <f>H39*0.19</f>
        <v>133642.20000000001</v>
      </c>
      <c r="J40" s="19"/>
    </row>
    <row r="41" spans="1:10" ht="18" customHeight="1" x14ac:dyDescent="0.3">
      <c r="A41" s="161" t="s">
        <v>74</v>
      </c>
      <c r="B41" s="162"/>
      <c r="C41" s="162"/>
      <c r="D41" s="163"/>
      <c r="E41" s="4"/>
      <c r="F41" s="4"/>
      <c r="G41" s="23" t="s">
        <v>26</v>
      </c>
      <c r="H41" s="99">
        <v>0</v>
      </c>
      <c r="J41" s="19"/>
    </row>
    <row r="42" spans="1:10" ht="18" customHeight="1" thickBot="1" x14ac:dyDescent="0.35">
      <c r="A42" s="164"/>
      <c r="B42" s="144"/>
      <c r="C42" s="144"/>
      <c r="D42" s="165"/>
      <c r="E42" s="4"/>
      <c r="F42" s="4"/>
      <c r="G42" s="6" t="s">
        <v>27</v>
      </c>
      <c r="H42" s="100">
        <v>0</v>
      </c>
      <c r="J42" s="20"/>
    </row>
    <row r="43" spans="1:10" ht="18" customHeight="1" thickTop="1" x14ac:dyDescent="0.3">
      <c r="A43" s="164"/>
      <c r="B43" s="144"/>
      <c r="C43" s="144"/>
      <c r="D43" s="165"/>
      <c r="E43" s="4"/>
      <c r="F43" s="4"/>
      <c r="G43" s="7" t="s">
        <v>20</v>
      </c>
      <c r="H43" s="101">
        <f>SUM(H39:H42)</f>
        <v>837022.2</v>
      </c>
      <c r="J43" s="19"/>
    </row>
    <row r="44" spans="1:10" ht="18" customHeight="1" x14ac:dyDescent="0.3">
      <c r="A44" s="164"/>
      <c r="B44" s="144"/>
      <c r="C44" s="144"/>
      <c r="D44" s="165"/>
      <c r="E44" s="4"/>
      <c r="F44" s="4"/>
    </row>
    <row r="45" spans="1:10" ht="18" customHeight="1" x14ac:dyDescent="0.3">
      <c r="A45" s="166"/>
      <c r="B45" s="167"/>
      <c r="C45" s="167"/>
      <c r="D45" s="168"/>
      <c r="E45" s="4"/>
      <c r="F45" s="4"/>
    </row>
    <row r="46" spans="1:10" ht="18" customHeight="1" x14ac:dyDescent="0.3">
      <c r="A46" s="92"/>
      <c r="B46" s="92"/>
      <c r="C46" s="92"/>
      <c r="D46" s="92"/>
      <c r="E46" s="4"/>
      <c r="F46" s="4"/>
    </row>
    <row r="47" spans="1:10" x14ac:dyDescent="0.3">
      <c r="A47" s="169" t="s">
        <v>28</v>
      </c>
      <c r="B47" s="144"/>
      <c r="C47" s="144"/>
      <c r="D47" s="144"/>
      <c r="E47" s="144"/>
      <c r="F47" s="144"/>
      <c r="G47" s="144"/>
      <c r="H47" s="144"/>
      <c r="J47" s="20"/>
    </row>
    <row r="48" spans="1:10" x14ac:dyDescent="0.3">
      <c r="A48" s="169" t="s">
        <v>50</v>
      </c>
      <c r="B48" s="144"/>
      <c r="C48" s="144"/>
      <c r="D48" s="144"/>
      <c r="E48" s="144"/>
      <c r="F48" s="144"/>
      <c r="G48" s="144"/>
      <c r="H48" s="144"/>
      <c r="J48" s="20"/>
    </row>
    <row r="49" spans="10:10" x14ac:dyDescent="0.3">
      <c r="J49" s="3"/>
    </row>
  </sheetData>
  <mergeCells count="29">
    <mergeCell ref="A48:H48"/>
    <mergeCell ref="B37:D37"/>
    <mergeCell ref="B38:D38"/>
    <mergeCell ref="A39:D39"/>
    <mergeCell ref="A40:D40"/>
    <mergeCell ref="A41:D45"/>
    <mergeCell ref="A47:H47"/>
    <mergeCell ref="B36:D36"/>
    <mergeCell ref="B25:D25"/>
    <mergeCell ref="B26:D26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  <mergeCell ref="A5:C5"/>
    <mergeCell ref="B20:D20"/>
    <mergeCell ref="B21:D21"/>
    <mergeCell ref="B22:D22"/>
    <mergeCell ref="B23:D23"/>
    <mergeCell ref="B24:D24"/>
    <mergeCell ref="E11:F11"/>
    <mergeCell ref="E14:F14"/>
    <mergeCell ref="E12:H12"/>
    <mergeCell ref="E15:H15"/>
  </mergeCells>
  <hyperlinks>
    <hyperlink ref="A18" r:id="rId1" xr:uid="{00000000-0004-0000-0400-000000000000}"/>
  </hyperlinks>
  <printOptions horizontalCentered="1"/>
  <pageMargins left="0.5" right="0.5" top="0.5" bottom="0.5" header="0.3" footer="0.3"/>
  <pageSetup scale="92" fitToHeight="0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B1:G492"/>
  <sheetViews>
    <sheetView workbookViewId="0">
      <selection activeCell="C199" sqref="C199"/>
    </sheetView>
  </sheetViews>
  <sheetFormatPr defaultColWidth="11.42578125" defaultRowHeight="15" x14ac:dyDescent="0.3"/>
  <cols>
    <col min="1" max="1" width="11.42578125" customWidth="1"/>
    <col min="2" max="2" width="15.7109375" style="64" bestFit="1" customWidth="1"/>
    <col min="3" max="3" width="81.140625" bestFit="1" customWidth="1"/>
    <col min="4" max="4" width="14.28515625" bestFit="1" customWidth="1"/>
    <col min="5" max="5" width="20.85546875" bestFit="1" customWidth="1"/>
  </cols>
  <sheetData>
    <row r="1" spans="2:7" x14ac:dyDescent="0.3">
      <c r="B1" s="64" t="s">
        <v>75</v>
      </c>
      <c r="C1" t="s">
        <v>16</v>
      </c>
      <c r="D1" t="s">
        <v>76</v>
      </c>
      <c r="E1" t="s">
        <v>77</v>
      </c>
    </row>
    <row r="2" spans="2:7" hidden="1" x14ac:dyDescent="0.3">
      <c r="B2" s="81" t="s">
        <v>78</v>
      </c>
      <c r="C2" s="82" t="s">
        <v>79</v>
      </c>
      <c r="D2" s="82">
        <v>25440</v>
      </c>
      <c r="E2" s="83" t="s">
        <v>80</v>
      </c>
    </row>
    <row r="3" spans="2:7" hidden="1" x14ac:dyDescent="0.3">
      <c r="B3" s="81" t="s">
        <v>81</v>
      </c>
      <c r="C3" s="82" t="s">
        <v>82</v>
      </c>
      <c r="D3" s="82">
        <v>29325</v>
      </c>
      <c r="E3" s="83" t="s">
        <v>80</v>
      </c>
    </row>
    <row r="4" spans="2:7" hidden="1" x14ac:dyDescent="0.3">
      <c r="B4" s="80" t="s">
        <v>83</v>
      </c>
      <c r="C4" s="82" t="s">
        <v>84</v>
      </c>
      <c r="D4" s="82">
        <v>20825</v>
      </c>
      <c r="E4" s="83" t="s">
        <v>80</v>
      </c>
    </row>
    <row r="5" spans="2:7" hidden="1" x14ac:dyDescent="0.3">
      <c r="B5" s="81" t="s">
        <v>85</v>
      </c>
      <c r="C5" s="82" t="s">
        <v>86</v>
      </c>
      <c r="D5" s="82">
        <v>36510</v>
      </c>
      <c r="E5" s="83" t="s">
        <v>80</v>
      </c>
    </row>
    <row r="6" spans="2:7" hidden="1" x14ac:dyDescent="0.3">
      <c r="B6" s="81" t="s">
        <v>87</v>
      </c>
      <c r="C6" s="82" t="s">
        <v>88</v>
      </c>
      <c r="D6" s="82">
        <v>8510</v>
      </c>
      <c r="E6" s="83" t="s">
        <v>80</v>
      </c>
      <c r="F6" s="66">
        <v>6975</v>
      </c>
      <c r="G6" s="56"/>
    </row>
    <row r="7" spans="2:7" hidden="1" x14ac:dyDescent="0.3">
      <c r="B7" s="81" t="s">
        <v>89</v>
      </c>
      <c r="C7" s="82" t="s">
        <v>90</v>
      </c>
      <c r="D7" s="82">
        <v>47250</v>
      </c>
      <c r="E7" s="83" t="s">
        <v>80</v>
      </c>
    </row>
    <row r="8" spans="2:7" hidden="1" x14ac:dyDescent="0.3">
      <c r="B8" s="81" t="s">
        <v>91</v>
      </c>
      <c r="C8" s="82" t="s">
        <v>92</v>
      </c>
      <c r="D8" s="82">
        <v>600</v>
      </c>
      <c r="E8" s="83" t="s">
        <v>80</v>
      </c>
    </row>
    <row r="9" spans="2:7" hidden="1" x14ac:dyDescent="0.3">
      <c r="B9" s="81" t="s">
        <v>93</v>
      </c>
      <c r="C9" s="82" t="s">
        <v>64</v>
      </c>
      <c r="D9" s="82">
        <v>11650</v>
      </c>
      <c r="E9" s="83" t="s">
        <v>80</v>
      </c>
    </row>
    <row r="10" spans="2:7" hidden="1" x14ac:dyDescent="0.3">
      <c r="B10" s="81" t="s">
        <v>94</v>
      </c>
      <c r="C10" s="82" t="s">
        <v>95</v>
      </c>
      <c r="D10" s="82">
        <v>6825</v>
      </c>
      <c r="E10" s="83" t="s">
        <v>80</v>
      </c>
    </row>
    <row r="11" spans="2:7" hidden="1" x14ac:dyDescent="0.3">
      <c r="B11" s="81" t="s">
        <v>96</v>
      </c>
      <c r="C11" s="82" t="s">
        <v>97</v>
      </c>
      <c r="D11" s="82">
        <v>10195</v>
      </c>
      <c r="E11" s="83" t="s">
        <v>80</v>
      </c>
    </row>
    <row r="12" spans="2:7" hidden="1" x14ac:dyDescent="0.3">
      <c r="B12" s="81" t="s">
        <v>98</v>
      </c>
      <c r="C12" s="82" t="s">
        <v>59</v>
      </c>
      <c r="D12" s="82">
        <v>19365</v>
      </c>
      <c r="E12" s="83" t="s">
        <v>80</v>
      </c>
    </row>
    <row r="13" spans="2:7" hidden="1" x14ac:dyDescent="0.3">
      <c r="B13" s="80" t="s">
        <v>99</v>
      </c>
      <c r="C13" s="82" t="s">
        <v>100</v>
      </c>
      <c r="D13" s="82">
        <v>12995</v>
      </c>
      <c r="E13" s="83" t="s">
        <v>80</v>
      </c>
    </row>
    <row r="14" spans="2:7" hidden="1" x14ac:dyDescent="0.3">
      <c r="B14" s="80" t="s">
        <v>101</v>
      </c>
      <c r="C14" s="82" t="s">
        <v>102</v>
      </c>
      <c r="D14" s="82">
        <v>790</v>
      </c>
      <c r="E14" s="83" t="s">
        <v>80</v>
      </c>
    </row>
    <row r="15" spans="2:7" hidden="1" x14ac:dyDescent="0.3">
      <c r="B15" s="80" t="s">
        <v>103</v>
      </c>
      <c r="C15" s="82" t="s">
        <v>69</v>
      </c>
      <c r="D15" s="82">
        <v>4045</v>
      </c>
      <c r="E15" s="83" t="s">
        <v>80</v>
      </c>
    </row>
    <row r="16" spans="2:7" hidden="1" x14ac:dyDescent="0.3">
      <c r="B16" s="81" t="s">
        <v>104</v>
      </c>
      <c r="C16" s="82" t="s">
        <v>61</v>
      </c>
      <c r="D16" s="82">
        <v>9165</v>
      </c>
      <c r="E16" s="83" t="s">
        <v>80</v>
      </c>
    </row>
    <row r="17" spans="2:5" hidden="1" x14ac:dyDescent="0.3">
      <c r="B17" s="81" t="s">
        <v>105</v>
      </c>
      <c r="C17" s="82" t="s">
        <v>106</v>
      </c>
      <c r="D17" s="82">
        <v>8275</v>
      </c>
      <c r="E17" s="83" t="s">
        <v>80</v>
      </c>
    </row>
    <row r="18" spans="2:5" hidden="1" x14ac:dyDescent="0.3">
      <c r="B18" s="81" t="s">
        <v>107</v>
      </c>
      <c r="C18" s="82" t="s">
        <v>62</v>
      </c>
      <c r="D18" s="82">
        <v>9495</v>
      </c>
      <c r="E18" s="83" t="s">
        <v>80</v>
      </c>
    </row>
    <row r="19" spans="2:5" hidden="1" x14ac:dyDescent="0.3">
      <c r="B19" t="s">
        <v>108</v>
      </c>
      <c r="C19" s="82" t="s">
        <v>57</v>
      </c>
      <c r="D19" s="82">
        <v>3695</v>
      </c>
      <c r="E19" s="83" t="s">
        <v>80</v>
      </c>
    </row>
    <row r="20" spans="2:5" hidden="1" x14ac:dyDescent="0.3">
      <c r="B20" s="81" t="s">
        <v>109</v>
      </c>
      <c r="C20" s="82" t="s">
        <v>110</v>
      </c>
      <c r="D20" s="82">
        <v>3741</v>
      </c>
      <c r="E20" s="83" t="s">
        <v>80</v>
      </c>
    </row>
    <row r="21" spans="2:5" hidden="1" x14ac:dyDescent="0.3">
      <c r="B21" s="81" t="s">
        <v>111</v>
      </c>
      <c r="C21" s="82" t="s">
        <v>112</v>
      </c>
      <c r="D21" s="82">
        <v>1626</v>
      </c>
      <c r="E21" s="83" t="s">
        <v>80</v>
      </c>
    </row>
    <row r="22" spans="2:5" x14ac:dyDescent="0.3">
      <c r="B22" s="80" t="s">
        <v>113</v>
      </c>
      <c r="C22" s="82" t="s">
        <v>66</v>
      </c>
      <c r="D22" s="82">
        <v>3470</v>
      </c>
      <c r="E22" s="83" t="s">
        <v>80</v>
      </c>
    </row>
    <row r="23" spans="2:5" hidden="1" x14ac:dyDescent="0.3">
      <c r="B23" s="80" t="s">
        <v>114</v>
      </c>
      <c r="C23" s="82" t="s">
        <v>115</v>
      </c>
      <c r="D23" s="82">
        <v>5550</v>
      </c>
      <c r="E23" s="83" t="s">
        <v>80</v>
      </c>
    </row>
    <row r="24" spans="2:5" hidden="1" x14ac:dyDescent="0.3">
      <c r="B24" s="80" t="s">
        <v>116</v>
      </c>
      <c r="C24" s="82" t="s">
        <v>65</v>
      </c>
      <c r="D24" s="82">
        <v>415</v>
      </c>
      <c r="E24" s="83" t="s">
        <v>80</v>
      </c>
    </row>
    <row r="25" spans="2:5" hidden="1" x14ac:dyDescent="0.3">
      <c r="B25" s="80" t="s">
        <v>117</v>
      </c>
      <c r="C25" s="82" t="s">
        <v>118</v>
      </c>
      <c r="D25" s="82">
        <v>5019.96</v>
      </c>
      <c r="E25" s="83" t="s">
        <v>80</v>
      </c>
    </row>
    <row r="26" spans="2:5" hidden="1" x14ac:dyDescent="0.3">
      <c r="B26" s="80" t="s">
        <v>119</v>
      </c>
      <c r="C26" s="82" t="s">
        <v>58</v>
      </c>
      <c r="D26" s="82">
        <v>1160</v>
      </c>
      <c r="E26" s="83" t="s">
        <v>80</v>
      </c>
    </row>
    <row r="27" spans="2:5" hidden="1" x14ac:dyDescent="0.3">
      <c r="B27" s="80" t="s">
        <v>120</v>
      </c>
      <c r="C27" s="82" t="s">
        <v>121</v>
      </c>
      <c r="D27" s="82">
        <v>1745</v>
      </c>
      <c r="E27" s="83" t="s">
        <v>80</v>
      </c>
    </row>
    <row r="28" spans="2:5" hidden="1" x14ac:dyDescent="0.3">
      <c r="B28" s="80" t="s">
        <v>122</v>
      </c>
      <c r="C28" s="82" t="s">
        <v>123</v>
      </c>
      <c r="D28" s="82">
        <v>1100</v>
      </c>
      <c r="E28" s="83" t="s">
        <v>80</v>
      </c>
    </row>
    <row r="29" spans="2:5" hidden="1" x14ac:dyDescent="0.3">
      <c r="B29" s="80" t="s">
        <v>124</v>
      </c>
      <c r="C29" s="82" t="s">
        <v>125</v>
      </c>
      <c r="D29" s="82">
        <v>3131</v>
      </c>
      <c r="E29" s="83" t="s">
        <v>80</v>
      </c>
    </row>
    <row r="30" spans="2:5" hidden="1" x14ac:dyDescent="0.3">
      <c r="B30" s="81" t="s">
        <v>126</v>
      </c>
      <c r="C30" s="82" t="s">
        <v>127</v>
      </c>
      <c r="D30" s="82">
        <v>25440</v>
      </c>
      <c r="E30" s="83" t="s">
        <v>80</v>
      </c>
    </row>
    <row r="31" spans="2:5" hidden="1" x14ac:dyDescent="0.3">
      <c r="B31" s="81" t="s">
        <v>128</v>
      </c>
      <c r="C31" s="82" t="s">
        <v>129</v>
      </c>
      <c r="D31" s="82">
        <v>33775</v>
      </c>
      <c r="E31" s="83" t="s">
        <v>80</v>
      </c>
    </row>
    <row r="32" spans="2:5" hidden="1" x14ac:dyDescent="0.3">
      <c r="B32" t="s">
        <v>126</v>
      </c>
      <c r="C32" s="82" t="s">
        <v>127</v>
      </c>
      <c r="D32" s="82">
        <v>23780</v>
      </c>
      <c r="E32" s="83" t="s">
        <v>80</v>
      </c>
    </row>
    <row r="33" spans="2:5" hidden="1" x14ac:dyDescent="0.3">
      <c r="B33" s="81" t="s">
        <v>130</v>
      </c>
      <c r="C33" s="82" t="s">
        <v>131</v>
      </c>
      <c r="D33" s="82">
        <v>1830</v>
      </c>
      <c r="E33" s="83" t="s">
        <v>80</v>
      </c>
    </row>
    <row r="34" spans="2:5" x14ac:dyDescent="0.3">
      <c r="B34" s="81" t="s">
        <v>132</v>
      </c>
      <c r="C34" s="82" t="s">
        <v>133</v>
      </c>
      <c r="D34" s="82">
        <v>5350</v>
      </c>
      <c r="E34" s="83" t="s">
        <v>80</v>
      </c>
    </row>
    <row r="35" spans="2:5" hidden="1" x14ac:dyDescent="0.3">
      <c r="B35" s="81" t="s">
        <v>134</v>
      </c>
      <c r="C35" s="82" t="s">
        <v>135</v>
      </c>
      <c r="D35" s="82">
        <v>6300</v>
      </c>
      <c r="E35" s="83" t="s">
        <v>80</v>
      </c>
    </row>
    <row r="36" spans="2:5" hidden="1" x14ac:dyDescent="0.3">
      <c r="B36" t="s">
        <v>136</v>
      </c>
      <c r="C36" s="82" t="s">
        <v>137</v>
      </c>
      <c r="D36" s="82">
        <v>5180</v>
      </c>
      <c r="E36" s="83" t="s">
        <v>80</v>
      </c>
    </row>
    <row r="37" spans="2:5" hidden="1" x14ac:dyDescent="0.3">
      <c r="B37" s="81" t="s">
        <v>138</v>
      </c>
      <c r="C37" s="82" t="s">
        <v>139</v>
      </c>
      <c r="D37" s="82">
        <v>2750</v>
      </c>
      <c r="E37" s="83" t="s">
        <v>80</v>
      </c>
    </row>
    <row r="38" spans="2:5" hidden="1" x14ac:dyDescent="0.3">
      <c r="B38" s="81" t="s">
        <v>140</v>
      </c>
      <c r="C38" s="82" t="s">
        <v>141</v>
      </c>
      <c r="D38" s="82">
        <v>3440</v>
      </c>
      <c r="E38" s="83" t="s">
        <v>80</v>
      </c>
    </row>
    <row r="39" spans="2:5" hidden="1" x14ac:dyDescent="0.3">
      <c r="B39" s="81" t="s">
        <v>142</v>
      </c>
      <c r="C39" s="82" t="s">
        <v>143</v>
      </c>
      <c r="D39" s="82">
        <v>5160</v>
      </c>
      <c r="E39" s="83" t="s">
        <v>80</v>
      </c>
    </row>
    <row r="40" spans="2:5" hidden="1" x14ac:dyDescent="0.3">
      <c r="B40" s="81" t="s">
        <v>144</v>
      </c>
      <c r="C40" s="82" t="s">
        <v>145</v>
      </c>
      <c r="D40" s="82">
        <v>25100</v>
      </c>
      <c r="E40" s="83" t="s">
        <v>80</v>
      </c>
    </row>
    <row r="41" spans="2:5" hidden="1" x14ac:dyDescent="0.3">
      <c r="B41" t="s">
        <v>146</v>
      </c>
      <c r="C41" s="82" t="s">
        <v>147</v>
      </c>
      <c r="D41" s="82">
        <v>29200</v>
      </c>
      <c r="E41" s="83" t="s">
        <v>80</v>
      </c>
    </row>
    <row r="42" spans="2:5" hidden="1" x14ac:dyDescent="0.3">
      <c r="B42" s="81" t="s">
        <v>148</v>
      </c>
      <c r="C42" s="82" t="s">
        <v>149</v>
      </c>
      <c r="D42" s="82">
        <v>14700</v>
      </c>
      <c r="E42" s="83" t="s">
        <v>80</v>
      </c>
    </row>
    <row r="43" spans="2:5" hidden="1" x14ac:dyDescent="0.3">
      <c r="B43" s="81" t="s">
        <v>150</v>
      </c>
      <c r="C43" s="82" t="s">
        <v>151</v>
      </c>
      <c r="D43" s="82">
        <v>15225</v>
      </c>
      <c r="E43" s="83" t="s">
        <v>80</v>
      </c>
    </row>
    <row r="44" spans="2:5" hidden="1" x14ac:dyDescent="0.3">
      <c r="B44" s="81" t="s">
        <v>152</v>
      </c>
      <c r="C44" s="82" t="s">
        <v>153</v>
      </c>
      <c r="D44" s="82">
        <v>22035</v>
      </c>
      <c r="E44" s="83" t="s">
        <v>80</v>
      </c>
    </row>
    <row r="45" spans="2:5" hidden="1" x14ac:dyDescent="0.3">
      <c r="B45" s="81" t="s">
        <v>154</v>
      </c>
      <c r="C45" s="82" t="s">
        <v>155</v>
      </c>
      <c r="D45" s="82">
        <v>2580</v>
      </c>
      <c r="E45" s="83" t="s">
        <v>156</v>
      </c>
    </row>
    <row r="46" spans="2:5" x14ac:dyDescent="0.3">
      <c r="B46" s="81" t="s">
        <v>157</v>
      </c>
      <c r="C46" s="82" t="s">
        <v>158</v>
      </c>
      <c r="D46" s="82">
        <v>3490</v>
      </c>
      <c r="E46" s="83" t="s">
        <v>156</v>
      </c>
    </row>
    <row r="47" spans="2:5" hidden="1" x14ac:dyDescent="0.3">
      <c r="B47" s="81" t="s">
        <v>159</v>
      </c>
      <c r="C47" s="82" t="s">
        <v>160</v>
      </c>
      <c r="D47" s="82">
        <v>5800</v>
      </c>
      <c r="E47" s="83" t="s">
        <v>156</v>
      </c>
    </row>
    <row r="48" spans="2:5" hidden="1" x14ac:dyDescent="0.3">
      <c r="B48" s="81" t="s">
        <v>161</v>
      </c>
      <c r="C48" s="82" t="s">
        <v>162</v>
      </c>
      <c r="D48" s="82">
        <v>3890</v>
      </c>
      <c r="E48" s="83" t="s">
        <v>156</v>
      </c>
    </row>
    <row r="49" spans="2:5" hidden="1" x14ac:dyDescent="0.3">
      <c r="B49" s="81" t="s">
        <v>163</v>
      </c>
      <c r="C49" s="82" t="s">
        <v>164</v>
      </c>
      <c r="D49" s="82">
        <v>499</v>
      </c>
      <c r="E49" s="83" t="s">
        <v>156</v>
      </c>
    </row>
    <row r="50" spans="2:5" hidden="1" x14ac:dyDescent="0.3">
      <c r="B50" s="81" t="s">
        <v>165</v>
      </c>
      <c r="C50" s="82" t="s">
        <v>166</v>
      </c>
      <c r="D50" s="82">
        <v>1290</v>
      </c>
      <c r="E50" s="83" t="s">
        <v>156</v>
      </c>
    </row>
    <row r="51" spans="2:5" hidden="1" x14ac:dyDescent="0.3">
      <c r="B51" s="81" t="s">
        <v>167</v>
      </c>
      <c r="C51" s="82" t="s">
        <v>168</v>
      </c>
      <c r="D51" s="82">
        <v>13800</v>
      </c>
      <c r="E51" s="83" t="s">
        <v>156</v>
      </c>
    </row>
    <row r="52" spans="2:5" hidden="1" x14ac:dyDescent="0.3">
      <c r="B52" s="81" t="s">
        <v>169</v>
      </c>
      <c r="C52" s="82" t="s">
        <v>170</v>
      </c>
      <c r="D52" s="82">
        <v>3490</v>
      </c>
      <c r="E52" s="83" t="s">
        <v>156</v>
      </c>
    </row>
    <row r="53" spans="2:5" hidden="1" x14ac:dyDescent="0.3">
      <c r="B53" s="81"/>
      <c r="C53" s="82" t="s">
        <v>171</v>
      </c>
      <c r="D53" s="82">
        <v>590</v>
      </c>
      <c r="E53" s="83" t="s">
        <v>156</v>
      </c>
    </row>
    <row r="54" spans="2:5" hidden="1" x14ac:dyDescent="0.3">
      <c r="B54" s="81" t="s">
        <v>172</v>
      </c>
      <c r="C54" s="82" t="s">
        <v>173</v>
      </c>
      <c r="D54" s="82">
        <v>1120</v>
      </c>
      <c r="E54" s="83" t="s">
        <v>156</v>
      </c>
    </row>
    <row r="55" spans="2:5" hidden="1" x14ac:dyDescent="0.3">
      <c r="B55" s="81" t="s">
        <v>174</v>
      </c>
      <c r="C55" s="82" t="s">
        <v>175</v>
      </c>
      <c r="D55" s="82">
        <v>4605.3333000000002</v>
      </c>
      <c r="E55" s="83" t="s">
        <v>176</v>
      </c>
    </row>
    <row r="56" spans="2:5" hidden="1" x14ac:dyDescent="0.3">
      <c r="B56" s="81" t="s">
        <v>177</v>
      </c>
      <c r="C56" s="82" t="s">
        <v>178</v>
      </c>
      <c r="D56" s="82">
        <v>3418</v>
      </c>
      <c r="E56" s="83" t="s">
        <v>176</v>
      </c>
    </row>
    <row r="57" spans="2:5" hidden="1" x14ac:dyDescent="0.3">
      <c r="B57" s="81" t="s">
        <v>179</v>
      </c>
      <c r="C57" s="82" t="s">
        <v>180</v>
      </c>
      <c r="D57" s="82">
        <v>3388.3332999999998</v>
      </c>
      <c r="E57" s="83" t="s">
        <v>176</v>
      </c>
    </row>
    <row r="58" spans="2:5" hidden="1" x14ac:dyDescent="0.3">
      <c r="B58" s="81"/>
      <c r="C58" s="82"/>
      <c r="D58" s="82"/>
      <c r="E58" s="83" t="s">
        <v>181</v>
      </c>
    </row>
    <row r="59" spans="2:5" hidden="1" x14ac:dyDescent="0.3">
      <c r="B59" s="81" t="s">
        <v>182</v>
      </c>
      <c r="C59" s="82" t="s">
        <v>183</v>
      </c>
      <c r="D59" s="82">
        <v>72500</v>
      </c>
      <c r="E59" s="83" t="s">
        <v>184</v>
      </c>
    </row>
    <row r="60" spans="2:5" hidden="1" x14ac:dyDescent="0.3">
      <c r="B60" s="81" t="s">
        <v>185</v>
      </c>
      <c r="C60" s="82" t="s">
        <v>186</v>
      </c>
      <c r="D60" s="82">
        <v>78500</v>
      </c>
      <c r="E60" s="83" t="s">
        <v>184</v>
      </c>
    </row>
    <row r="61" spans="2:5" hidden="1" x14ac:dyDescent="0.3">
      <c r="B61" s="81" t="s">
        <v>187</v>
      </c>
      <c r="C61" s="82" t="s">
        <v>188</v>
      </c>
      <c r="D61" s="82">
        <v>31050</v>
      </c>
      <c r="E61" s="83" t="s">
        <v>189</v>
      </c>
    </row>
    <row r="62" spans="2:5" hidden="1" x14ac:dyDescent="0.3">
      <c r="B62" s="81" t="s">
        <v>190</v>
      </c>
      <c r="C62" s="82" t="s">
        <v>191</v>
      </c>
      <c r="D62" s="82">
        <v>31050</v>
      </c>
      <c r="E62" s="83" t="s">
        <v>189</v>
      </c>
    </row>
    <row r="63" spans="2:5" hidden="1" x14ac:dyDescent="0.3">
      <c r="B63" s="81" t="s">
        <v>192</v>
      </c>
      <c r="C63" s="82" t="s">
        <v>193</v>
      </c>
      <c r="D63" s="82">
        <v>37000</v>
      </c>
      <c r="E63" s="83" t="s">
        <v>189</v>
      </c>
    </row>
    <row r="64" spans="2:5" hidden="1" x14ac:dyDescent="0.3">
      <c r="B64" s="81" t="s">
        <v>194</v>
      </c>
      <c r="C64" s="82" t="s">
        <v>195</v>
      </c>
      <c r="D64" s="82">
        <v>3200</v>
      </c>
      <c r="E64" s="83" t="s">
        <v>189</v>
      </c>
    </row>
    <row r="65" spans="2:5" hidden="1" x14ac:dyDescent="0.3">
      <c r="B65" s="81" t="s">
        <v>196</v>
      </c>
      <c r="C65" s="82" t="s">
        <v>197</v>
      </c>
      <c r="D65" s="82">
        <v>1500</v>
      </c>
      <c r="E65" s="83" t="s">
        <v>189</v>
      </c>
    </row>
    <row r="66" spans="2:5" hidden="1" x14ac:dyDescent="0.3">
      <c r="B66" s="81" t="s">
        <v>198</v>
      </c>
      <c r="C66" s="82" t="s">
        <v>199</v>
      </c>
      <c r="D66" s="82">
        <v>1450</v>
      </c>
      <c r="E66" s="83" t="s">
        <v>189</v>
      </c>
    </row>
    <row r="67" spans="2:5" hidden="1" x14ac:dyDescent="0.3">
      <c r="B67" s="81" t="s">
        <v>200</v>
      </c>
      <c r="C67" s="82" t="s">
        <v>201</v>
      </c>
      <c r="D67" s="82">
        <v>56000</v>
      </c>
      <c r="E67" s="83" t="s">
        <v>189</v>
      </c>
    </row>
    <row r="68" spans="2:5" hidden="1" x14ac:dyDescent="0.3">
      <c r="B68" s="81" t="s">
        <v>202</v>
      </c>
      <c r="C68" s="82" t="s">
        <v>203</v>
      </c>
      <c r="D68" s="82">
        <v>2200</v>
      </c>
      <c r="E68" s="83" t="s">
        <v>189</v>
      </c>
    </row>
    <row r="69" spans="2:5" hidden="1" x14ac:dyDescent="0.3">
      <c r="B69" s="81" t="s">
        <v>204</v>
      </c>
      <c r="C69" s="82" t="s">
        <v>205</v>
      </c>
      <c r="D69" s="82">
        <v>125</v>
      </c>
      <c r="E69" s="83" t="s">
        <v>189</v>
      </c>
    </row>
    <row r="70" spans="2:5" hidden="1" x14ac:dyDescent="0.3">
      <c r="B70" s="81" t="s">
        <v>206</v>
      </c>
      <c r="C70" s="82" t="s">
        <v>207</v>
      </c>
      <c r="D70" s="82">
        <v>800</v>
      </c>
      <c r="E70" s="83" t="s">
        <v>189</v>
      </c>
    </row>
    <row r="71" spans="2:5" hidden="1" x14ac:dyDescent="0.3">
      <c r="B71" s="81" t="s">
        <v>208</v>
      </c>
      <c r="C71" s="82" t="s">
        <v>209</v>
      </c>
      <c r="D71" s="82">
        <v>14000</v>
      </c>
      <c r="E71" s="83" t="s">
        <v>189</v>
      </c>
    </row>
    <row r="72" spans="2:5" hidden="1" x14ac:dyDescent="0.3">
      <c r="B72" s="81" t="s">
        <v>210</v>
      </c>
      <c r="C72" s="82" t="s">
        <v>211</v>
      </c>
      <c r="D72" s="82">
        <v>25500</v>
      </c>
      <c r="E72" s="83" t="s">
        <v>189</v>
      </c>
    </row>
    <row r="73" spans="2:5" hidden="1" x14ac:dyDescent="0.3">
      <c r="B73" s="81" t="s">
        <v>212</v>
      </c>
      <c r="C73" s="82" t="s">
        <v>213</v>
      </c>
      <c r="D73" s="82">
        <v>7500</v>
      </c>
      <c r="E73" s="83" t="s">
        <v>189</v>
      </c>
    </row>
    <row r="74" spans="2:5" x14ac:dyDescent="0.3">
      <c r="B74" s="81" t="s">
        <v>214</v>
      </c>
      <c r="C74" s="82" t="s">
        <v>215</v>
      </c>
      <c r="D74" s="82">
        <v>1500</v>
      </c>
      <c r="E74" s="83" t="s">
        <v>189</v>
      </c>
    </row>
    <row r="75" spans="2:5" hidden="1" x14ac:dyDescent="0.3">
      <c r="B75" s="81" t="s">
        <v>216</v>
      </c>
      <c r="C75" s="82" t="s">
        <v>217</v>
      </c>
      <c r="D75" s="82">
        <v>1800</v>
      </c>
      <c r="E75" s="83" t="s">
        <v>189</v>
      </c>
    </row>
    <row r="76" spans="2:5" hidden="1" x14ac:dyDescent="0.3">
      <c r="B76" s="81" t="s">
        <v>218</v>
      </c>
      <c r="C76" s="82" t="s">
        <v>219</v>
      </c>
      <c r="D76" s="82">
        <v>1250</v>
      </c>
      <c r="E76" s="83" t="s">
        <v>189</v>
      </c>
    </row>
    <row r="77" spans="2:5" hidden="1" x14ac:dyDescent="0.3">
      <c r="B77" s="81" t="s">
        <v>187</v>
      </c>
      <c r="C77" s="82" t="s">
        <v>188</v>
      </c>
      <c r="D77" s="82">
        <v>31050</v>
      </c>
      <c r="E77" s="83" t="s">
        <v>189</v>
      </c>
    </row>
    <row r="78" spans="2:5" hidden="1" x14ac:dyDescent="0.3">
      <c r="B78" s="81" t="s">
        <v>220</v>
      </c>
      <c r="C78" s="82" t="s">
        <v>221</v>
      </c>
      <c r="D78" s="82">
        <v>38000</v>
      </c>
      <c r="E78" s="83" t="s">
        <v>189</v>
      </c>
    </row>
    <row r="79" spans="2:5" hidden="1" x14ac:dyDescent="0.3">
      <c r="B79" s="81" t="s">
        <v>222</v>
      </c>
      <c r="C79" s="82" t="s">
        <v>223</v>
      </c>
      <c r="D79" s="82"/>
      <c r="E79" s="83" t="s">
        <v>189</v>
      </c>
    </row>
    <row r="80" spans="2:5" hidden="1" x14ac:dyDescent="0.3">
      <c r="B80" s="81" t="s">
        <v>224</v>
      </c>
      <c r="C80" s="82" t="s">
        <v>225</v>
      </c>
      <c r="D80" s="82">
        <v>62</v>
      </c>
      <c r="E80" s="83" t="s">
        <v>226</v>
      </c>
    </row>
    <row r="81" spans="2:5" hidden="1" x14ac:dyDescent="0.3">
      <c r="B81" s="81" t="s">
        <v>227</v>
      </c>
      <c r="C81" s="82" t="s">
        <v>228</v>
      </c>
      <c r="D81" s="82">
        <v>3060</v>
      </c>
      <c r="E81" s="83" t="s">
        <v>226</v>
      </c>
    </row>
    <row r="82" spans="2:5" hidden="1" x14ac:dyDescent="0.3">
      <c r="B82" s="81" t="s">
        <v>78</v>
      </c>
      <c r="C82" s="82" t="s">
        <v>79</v>
      </c>
      <c r="D82" s="82">
        <v>25440</v>
      </c>
      <c r="E82" s="83" t="s">
        <v>80</v>
      </c>
    </row>
    <row r="83" spans="2:5" hidden="1" x14ac:dyDescent="0.3">
      <c r="B83" s="81" t="s">
        <v>81</v>
      </c>
      <c r="C83" s="82" t="s">
        <v>82</v>
      </c>
      <c r="D83" s="82">
        <v>29325</v>
      </c>
      <c r="E83" s="83" t="s">
        <v>80</v>
      </c>
    </row>
    <row r="84" spans="2:5" hidden="1" x14ac:dyDescent="0.3">
      <c r="B84" s="81" t="s">
        <v>83</v>
      </c>
      <c r="C84" s="82" t="s">
        <v>84</v>
      </c>
      <c r="D84" s="82">
        <v>20825</v>
      </c>
      <c r="E84" s="83" t="s">
        <v>80</v>
      </c>
    </row>
    <row r="85" spans="2:5" hidden="1" x14ac:dyDescent="0.3">
      <c r="B85" s="81" t="s">
        <v>85</v>
      </c>
      <c r="C85" s="82" t="s">
        <v>86</v>
      </c>
      <c r="D85" s="82">
        <v>36510</v>
      </c>
      <c r="E85" s="83" t="s">
        <v>80</v>
      </c>
    </row>
    <row r="86" spans="2:5" hidden="1" x14ac:dyDescent="0.3">
      <c r="B86" s="81" t="s">
        <v>87</v>
      </c>
      <c r="C86" s="82" t="s">
        <v>88</v>
      </c>
      <c r="D86" s="82">
        <v>8510</v>
      </c>
      <c r="E86" s="83" t="s">
        <v>80</v>
      </c>
    </row>
    <row r="87" spans="2:5" hidden="1" x14ac:dyDescent="0.3">
      <c r="B87" s="81" t="s">
        <v>89</v>
      </c>
      <c r="C87" s="82" t="s">
        <v>90</v>
      </c>
      <c r="D87" s="82">
        <v>47250</v>
      </c>
      <c r="E87" s="83" t="s">
        <v>80</v>
      </c>
    </row>
    <row r="88" spans="2:5" hidden="1" x14ac:dyDescent="0.3">
      <c r="B88" s="81" t="s">
        <v>91</v>
      </c>
      <c r="C88" s="82" t="s">
        <v>92</v>
      </c>
      <c r="D88" s="82">
        <v>600</v>
      </c>
      <c r="E88" s="83" t="s">
        <v>80</v>
      </c>
    </row>
    <row r="89" spans="2:5" hidden="1" x14ac:dyDescent="0.3">
      <c r="B89" t="s">
        <v>93</v>
      </c>
      <c r="C89" s="82" t="s">
        <v>64</v>
      </c>
      <c r="D89" s="82">
        <v>11650</v>
      </c>
      <c r="E89" s="83" t="s">
        <v>80</v>
      </c>
    </row>
    <row r="90" spans="2:5" hidden="1" x14ac:dyDescent="0.3">
      <c r="B90" s="81" t="s">
        <v>94</v>
      </c>
      <c r="C90" s="82" t="s">
        <v>95</v>
      </c>
      <c r="D90" s="82">
        <v>6825</v>
      </c>
      <c r="E90" s="83" t="s">
        <v>80</v>
      </c>
    </row>
    <row r="91" spans="2:5" hidden="1" x14ac:dyDescent="0.3">
      <c r="B91" s="81" t="s">
        <v>96</v>
      </c>
      <c r="C91" s="82" t="s">
        <v>97</v>
      </c>
      <c r="D91" s="82">
        <v>10195</v>
      </c>
      <c r="E91" s="83" t="s">
        <v>80</v>
      </c>
    </row>
    <row r="92" spans="2:5" hidden="1" x14ac:dyDescent="0.3">
      <c r="B92" s="81" t="s">
        <v>98</v>
      </c>
      <c r="C92" s="82" t="s">
        <v>59</v>
      </c>
      <c r="D92" s="82">
        <v>19365</v>
      </c>
      <c r="E92" s="83" t="s">
        <v>80</v>
      </c>
    </row>
    <row r="93" spans="2:5" hidden="1" x14ac:dyDescent="0.3">
      <c r="B93" s="81" t="s">
        <v>99</v>
      </c>
      <c r="C93" s="82" t="s">
        <v>100</v>
      </c>
      <c r="D93" s="82">
        <v>12995</v>
      </c>
      <c r="E93" s="83" t="s">
        <v>80</v>
      </c>
    </row>
    <row r="94" spans="2:5" hidden="1" x14ac:dyDescent="0.3">
      <c r="B94" s="81" t="s">
        <v>101</v>
      </c>
      <c r="C94" s="82" t="s">
        <v>102</v>
      </c>
      <c r="D94" s="82">
        <v>790</v>
      </c>
      <c r="E94" s="83" t="s">
        <v>80</v>
      </c>
    </row>
    <row r="95" spans="2:5" hidden="1" x14ac:dyDescent="0.3">
      <c r="B95" s="81" t="s">
        <v>103</v>
      </c>
      <c r="C95" s="82" t="s">
        <v>69</v>
      </c>
      <c r="D95" s="82">
        <v>4045</v>
      </c>
      <c r="E95" s="83" t="s">
        <v>80</v>
      </c>
    </row>
    <row r="96" spans="2:5" hidden="1" x14ac:dyDescent="0.3">
      <c r="B96" s="81" t="s">
        <v>104</v>
      </c>
      <c r="C96" s="82" t="s">
        <v>61</v>
      </c>
      <c r="D96" s="82">
        <v>9165</v>
      </c>
      <c r="E96" s="83" t="s">
        <v>80</v>
      </c>
    </row>
    <row r="97" spans="2:5" hidden="1" x14ac:dyDescent="0.3">
      <c r="B97" s="81" t="s">
        <v>105</v>
      </c>
      <c r="C97" s="82" t="s">
        <v>106</v>
      </c>
      <c r="D97" s="82">
        <v>8275</v>
      </c>
      <c r="E97" s="83" t="s">
        <v>80</v>
      </c>
    </row>
    <row r="98" spans="2:5" hidden="1" x14ac:dyDescent="0.3">
      <c r="B98" s="81" t="s">
        <v>107</v>
      </c>
      <c r="C98" s="82" t="s">
        <v>62</v>
      </c>
      <c r="D98" s="82">
        <v>9495</v>
      </c>
      <c r="E98" s="83" t="s">
        <v>80</v>
      </c>
    </row>
    <row r="99" spans="2:5" hidden="1" x14ac:dyDescent="0.3">
      <c r="B99" t="s">
        <v>108</v>
      </c>
      <c r="C99" s="82" t="s">
        <v>57</v>
      </c>
      <c r="D99" s="82">
        <v>3695</v>
      </c>
      <c r="E99" s="83" t="s">
        <v>80</v>
      </c>
    </row>
    <row r="100" spans="2:5" hidden="1" x14ac:dyDescent="0.3">
      <c r="B100" s="81" t="s">
        <v>109</v>
      </c>
      <c r="C100" s="82" t="s">
        <v>110</v>
      </c>
      <c r="D100" s="82">
        <v>3741</v>
      </c>
      <c r="E100" s="83" t="s">
        <v>80</v>
      </c>
    </row>
    <row r="101" spans="2:5" hidden="1" x14ac:dyDescent="0.3">
      <c r="B101" s="81" t="s">
        <v>111</v>
      </c>
      <c r="C101" s="82" t="s">
        <v>112</v>
      </c>
      <c r="D101" s="82">
        <v>1626</v>
      </c>
      <c r="E101" s="83" t="s">
        <v>80</v>
      </c>
    </row>
    <row r="102" spans="2:5" x14ac:dyDescent="0.3">
      <c r="B102" s="81" t="s">
        <v>113</v>
      </c>
      <c r="C102" s="82" t="s">
        <v>66</v>
      </c>
      <c r="D102" s="82">
        <v>3470</v>
      </c>
      <c r="E102" s="83" t="s">
        <v>80</v>
      </c>
    </row>
    <row r="103" spans="2:5" hidden="1" x14ac:dyDescent="0.3">
      <c r="B103" s="81" t="s">
        <v>114</v>
      </c>
      <c r="C103" s="82" t="s">
        <v>115</v>
      </c>
      <c r="D103" s="82">
        <v>5550</v>
      </c>
      <c r="E103" s="83" t="s">
        <v>80</v>
      </c>
    </row>
    <row r="104" spans="2:5" hidden="1" x14ac:dyDescent="0.3">
      <c r="B104" s="81" t="s">
        <v>116</v>
      </c>
      <c r="C104" s="82" t="s">
        <v>65</v>
      </c>
      <c r="D104" s="82">
        <v>415</v>
      </c>
      <c r="E104" s="83" t="s">
        <v>80</v>
      </c>
    </row>
    <row r="105" spans="2:5" hidden="1" x14ac:dyDescent="0.3">
      <c r="B105" s="81" t="s">
        <v>117</v>
      </c>
      <c r="C105" s="82" t="s">
        <v>118</v>
      </c>
      <c r="D105" s="82">
        <v>5019.96</v>
      </c>
      <c r="E105" s="83" t="s">
        <v>80</v>
      </c>
    </row>
    <row r="106" spans="2:5" hidden="1" x14ac:dyDescent="0.3">
      <c r="B106" s="81" t="s">
        <v>119</v>
      </c>
      <c r="C106" s="82" t="s">
        <v>58</v>
      </c>
      <c r="D106" s="82">
        <v>1160</v>
      </c>
      <c r="E106" s="83" t="s">
        <v>80</v>
      </c>
    </row>
    <row r="107" spans="2:5" hidden="1" x14ac:dyDescent="0.3">
      <c r="B107" s="81" t="s">
        <v>120</v>
      </c>
      <c r="C107" s="82" t="s">
        <v>121</v>
      </c>
      <c r="D107" s="82">
        <v>1745</v>
      </c>
      <c r="E107" s="83" t="s">
        <v>80</v>
      </c>
    </row>
    <row r="108" spans="2:5" hidden="1" x14ac:dyDescent="0.3">
      <c r="B108" s="81" t="s">
        <v>122</v>
      </c>
      <c r="C108" s="82" t="s">
        <v>123</v>
      </c>
      <c r="D108" s="82">
        <v>1100</v>
      </c>
      <c r="E108" s="83" t="s">
        <v>80</v>
      </c>
    </row>
    <row r="109" spans="2:5" hidden="1" x14ac:dyDescent="0.3">
      <c r="B109" s="81" t="s">
        <v>124</v>
      </c>
      <c r="C109" s="82" t="s">
        <v>125</v>
      </c>
      <c r="D109" s="82">
        <v>3131</v>
      </c>
      <c r="E109" s="83" t="s">
        <v>80</v>
      </c>
    </row>
    <row r="110" spans="2:5" hidden="1" x14ac:dyDescent="0.3">
      <c r="B110" s="81" t="s">
        <v>126</v>
      </c>
      <c r="C110" s="82" t="s">
        <v>127</v>
      </c>
      <c r="D110" s="82">
        <v>25440</v>
      </c>
      <c r="E110" s="83" t="s">
        <v>80</v>
      </c>
    </row>
    <row r="111" spans="2:5" hidden="1" x14ac:dyDescent="0.3">
      <c r="B111" s="81" t="s">
        <v>128</v>
      </c>
      <c r="C111" s="82" t="s">
        <v>129</v>
      </c>
      <c r="D111" s="82">
        <v>33775</v>
      </c>
      <c r="E111" s="83" t="s">
        <v>80</v>
      </c>
    </row>
    <row r="112" spans="2:5" hidden="1" x14ac:dyDescent="0.3">
      <c r="B112" s="81" t="s">
        <v>126</v>
      </c>
      <c r="C112" s="82" t="s">
        <v>127</v>
      </c>
      <c r="D112" s="82">
        <v>23780</v>
      </c>
      <c r="E112" s="83" t="s">
        <v>80</v>
      </c>
    </row>
    <row r="113" spans="2:5" hidden="1" x14ac:dyDescent="0.3">
      <c r="B113" t="s">
        <v>130</v>
      </c>
      <c r="C113" s="82" t="s">
        <v>131</v>
      </c>
      <c r="D113" s="82">
        <v>1830</v>
      </c>
      <c r="E113" s="83" t="s">
        <v>80</v>
      </c>
    </row>
    <row r="114" spans="2:5" x14ac:dyDescent="0.3">
      <c r="B114" s="81" t="s">
        <v>132</v>
      </c>
      <c r="C114" s="82" t="s">
        <v>133</v>
      </c>
      <c r="D114" s="82">
        <v>5350</v>
      </c>
      <c r="E114" s="83" t="s">
        <v>80</v>
      </c>
    </row>
    <row r="115" spans="2:5" hidden="1" x14ac:dyDescent="0.3">
      <c r="B115" s="81" t="s">
        <v>134</v>
      </c>
      <c r="C115" s="82" t="s">
        <v>135</v>
      </c>
      <c r="D115" s="82">
        <v>6300</v>
      </c>
      <c r="E115" s="83" t="s">
        <v>80</v>
      </c>
    </row>
    <row r="116" spans="2:5" hidden="1" x14ac:dyDescent="0.3">
      <c r="B116" s="81" t="s">
        <v>136</v>
      </c>
      <c r="C116" s="82" t="s">
        <v>137</v>
      </c>
      <c r="D116" s="82">
        <v>5180</v>
      </c>
      <c r="E116" s="83" t="s">
        <v>80</v>
      </c>
    </row>
    <row r="117" spans="2:5" hidden="1" x14ac:dyDescent="0.3">
      <c r="B117" s="81" t="s">
        <v>138</v>
      </c>
      <c r="C117" s="82" t="s">
        <v>139</v>
      </c>
      <c r="D117" s="82">
        <v>2750</v>
      </c>
      <c r="E117" s="83" t="s">
        <v>80</v>
      </c>
    </row>
    <row r="118" spans="2:5" hidden="1" x14ac:dyDescent="0.3">
      <c r="B118" s="81" t="s">
        <v>140</v>
      </c>
      <c r="C118" s="82" t="s">
        <v>141</v>
      </c>
      <c r="D118" s="82">
        <v>3440</v>
      </c>
      <c r="E118" s="83" t="s">
        <v>80</v>
      </c>
    </row>
    <row r="119" spans="2:5" hidden="1" x14ac:dyDescent="0.3">
      <c r="B119" s="81" t="s">
        <v>142</v>
      </c>
      <c r="C119" s="82" t="s">
        <v>143</v>
      </c>
      <c r="D119" s="82">
        <v>5160</v>
      </c>
      <c r="E119" s="83" t="s">
        <v>80</v>
      </c>
    </row>
    <row r="120" spans="2:5" hidden="1" x14ac:dyDescent="0.3">
      <c r="B120" s="81" t="s">
        <v>144</v>
      </c>
      <c r="C120" s="82" t="s">
        <v>145</v>
      </c>
      <c r="D120" s="82">
        <v>25100</v>
      </c>
      <c r="E120" s="83" t="s">
        <v>80</v>
      </c>
    </row>
    <row r="121" spans="2:5" hidden="1" x14ac:dyDescent="0.3">
      <c r="B121" s="81" t="s">
        <v>146</v>
      </c>
      <c r="C121" s="82" t="s">
        <v>147</v>
      </c>
      <c r="D121" s="82">
        <v>29200</v>
      </c>
      <c r="E121" s="83" t="s">
        <v>80</v>
      </c>
    </row>
    <row r="122" spans="2:5" hidden="1" x14ac:dyDescent="0.3">
      <c r="B122" s="81" t="s">
        <v>148</v>
      </c>
      <c r="C122" s="82" t="s">
        <v>149</v>
      </c>
      <c r="D122" s="82">
        <v>14700</v>
      </c>
      <c r="E122" s="83" t="s">
        <v>80</v>
      </c>
    </row>
    <row r="123" spans="2:5" hidden="1" x14ac:dyDescent="0.3">
      <c r="B123" s="81" t="s">
        <v>150</v>
      </c>
      <c r="C123" s="82" t="s">
        <v>151</v>
      </c>
      <c r="D123" s="82">
        <v>15225</v>
      </c>
      <c r="E123" s="83" t="s">
        <v>80</v>
      </c>
    </row>
    <row r="124" spans="2:5" hidden="1" x14ac:dyDescent="0.3">
      <c r="B124" t="s">
        <v>152</v>
      </c>
      <c r="C124" s="82" t="s">
        <v>153</v>
      </c>
      <c r="D124" s="82">
        <v>22035</v>
      </c>
      <c r="E124" s="83" t="s">
        <v>80</v>
      </c>
    </row>
    <row r="125" spans="2:5" hidden="1" x14ac:dyDescent="0.3">
      <c r="B125" s="81" t="s">
        <v>154</v>
      </c>
      <c r="C125" s="82" t="s">
        <v>155</v>
      </c>
      <c r="D125" s="82">
        <v>2580</v>
      </c>
      <c r="E125" s="83" t="s">
        <v>156</v>
      </c>
    </row>
    <row r="126" spans="2:5" x14ac:dyDescent="0.3">
      <c r="B126" s="81" t="s">
        <v>157</v>
      </c>
      <c r="C126" s="82" t="s">
        <v>158</v>
      </c>
      <c r="D126" s="82">
        <v>3490</v>
      </c>
      <c r="E126" s="83" t="s">
        <v>156</v>
      </c>
    </row>
    <row r="127" spans="2:5" hidden="1" x14ac:dyDescent="0.3">
      <c r="B127" s="81" t="s">
        <v>159</v>
      </c>
      <c r="C127" s="82" t="s">
        <v>160</v>
      </c>
      <c r="D127" s="82">
        <v>5800</v>
      </c>
      <c r="E127" s="83" t="s">
        <v>156</v>
      </c>
    </row>
    <row r="128" spans="2:5" hidden="1" x14ac:dyDescent="0.3">
      <c r="B128" s="81" t="s">
        <v>161</v>
      </c>
      <c r="C128" s="82" t="s">
        <v>162</v>
      </c>
      <c r="D128" s="82">
        <v>3890</v>
      </c>
      <c r="E128" s="83" t="s">
        <v>156</v>
      </c>
    </row>
    <row r="129" spans="2:5" hidden="1" x14ac:dyDescent="0.3">
      <c r="B129" s="81" t="s">
        <v>163</v>
      </c>
      <c r="C129" s="82" t="s">
        <v>164</v>
      </c>
      <c r="D129" s="82">
        <v>499</v>
      </c>
      <c r="E129" s="83" t="s">
        <v>156</v>
      </c>
    </row>
    <row r="130" spans="2:5" hidden="1" x14ac:dyDescent="0.3">
      <c r="B130" s="81" t="s">
        <v>165</v>
      </c>
      <c r="C130" s="82" t="s">
        <v>166</v>
      </c>
      <c r="D130" s="82">
        <v>1290</v>
      </c>
      <c r="E130" s="83" t="s">
        <v>156</v>
      </c>
    </row>
    <row r="131" spans="2:5" hidden="1" x14ac:dyDescent="0.3">
      <c r="B131" s="81" t="s">
        <v>167</v>
      </c>
      <c r="C131" s="82" t="s">
        <v>168</v>
      </c>
      <c r="D131" s="82">
        <v>13800</v>
      </c>
      <c r="E131" s="83" t="s">
        <v>156</v>
      </c>
    </row>
    <row r="132" spans="2:5" hidden="1" x14ac:dyDescent="0.3">
      <c r="B132" s="81" t="s">
        <v>169</v>
      </c>
      <c r="C132" s="82" t="s">
        <v>170</v>
      </c>
      <c r="D132" s="82">
        <v>3490</v>
      </c>
      <c r="E132" s="83" t="s">
        <v>156</v>
      </c>
    </row>
    <row r="133" spans="2:5" hidden="1" x14ac:dyDescent="0.3">
      <c r="B133" s="81"/>
      <c r="C133" s="82" t="s">
        <v>171</v>
      </c>
      <c r="D133" s="82">
        <v>590</v>
      </c>
      <c r="E133" s="83" t="s">
        <v>156</v>
      </c>
    </row>
    <row r="134" spans="2:5" hidden="1" x14ac:dyDescent="0.3">
      <c r="B134" s="81" t="s">
        <v>172</v>
      </c>
      <c r="C134" s="82" t="s">
        <v>173</v>
      </c>
      <c r="D134" s="82">
        <v>1120</v>
      </c>
      <c r="E134" s="83" t="s">
        <v>156</v>
      </c>
    </row>
    <row r="135" spans="2:5" hidden="1" x14ac:dyDescent="0.3">
      <c r="B135" s="81" t="s">
        <v>174</v>
      </c>
      <c r="C135" s="82" t="s">
        <v>175</v>
      </c>
      <c r="D135" s="82">
        <v>4605.3333000000002</v>
      </c>
      <c r="E135" s="83" t="s">
        <v>176</v>
      </c>
    </row>
    <row r="136" spans="2:5" hidden="1" x14ac:dyDescent="0.3">
      <c r="B136" s="81" t="s">
        <v>177</v>
      </c>
      <c r="C136" s="82" t="s">
        <v>178</v>
      </c>
      <c r="D136" s="82">
        <v>3418</v>
      </c>
      <c r="E136" s="83" t="s">
        <v>176</v>
      </c>
    </row>
    <row r="137" spans="2:5" hidden="1" x14ac:dyDescent="0.3">
      <c r="B137" s="81" t="s">
        <v>179</v>
      </c>
      <c r="C137" s="82" t="s">
        <v>180</v>
      </c>
      <c r="D137" s="82">
        <v>3388.3332999999998</v>
      </c>
      <c r="E137" s="83" t="s">
        <v>176</v>
      </c>
    </row>
    <row r="138" spans="2:5" hidden="1" x14ac:dyDescent="0.3">
      <c r="B138" s="81"/>
      <c r="C138" s="82"/>
      <c r="D138" s="82"/>
      <c r="E138" s="83" t="s">
        <v>181</v>
      </c>
    </row>
    <row r="139" spans="2:5" hidden="1" x14ac:dyDescent="0.3">
      <c r="B139" s="81" t="s">
        <v>182</v>
      </c>
      <c r="C139" s="82" t="s">
        <v>183</v>
      </c>
      <c r="D139" s="82">
        <v>72500</v>
      </c>
      <c r="E139" s="83" t="s">
        <v>184</v>
      </c>
    </row>
    <row r="140" spans="2:5" hidden="1" x14ac:dyDescent="0.3">
      <c r="B140" s="81" t="s">
        <v>185</v>
      </c>
      <c r="C140" s="82" t="s">
        <v>186</v>
      </c>
      <c r="D140" s="82">
        <v>78500</v>
      </c>
      <c r="E140" s="83" t="s">
        <v>184</v>
      </c>
    </row>
    <row r="141" spans="2:5" hidden="1" x14ac:dyDescent="0.3">
      <c r="B141" s="81" t="s">
        <v>229</v>
      </c>
      <c r="C141" s="82" t="s">
        <v>230</v>
      </c>
      <c r="D141" s="82">
        <v>2947.8</v>
      </c>
      <c r="E141" s="83" t="s">
        <v>231</v>
      </c>
    </row>
    <row r="142" spans="2:5" hidden="1" x14ac:dyDescent="0.3">
      <c r="B142" s="81" t="s">
        <v>232</v>
      </c>
      <c r="C142" s="82" t="s">
        <v>233</v>
      </c>
      <c r="D142" s="82">
        <v>28560</v>
      </c>
      <c r="E142" s="83" t="s">
        <v>231</v>
      </c>
    </row>
    <row r="143" spans="2:5" hidden="1" x14ac:dyDescent="0.3">
      <c r="B143" s="81" t="s">
        <v>234</v>
      </c>
      <c r="C143" s="82"/>
      <c r="D143" s="82"/>
      <c r="E143" s="83" t="s">
        <v>231</v>
      </c>
    </row>
    <row r="144" spans="2:5" hidden="1" x14ac:dyDescent="0.3">
      <c r="B144" s="81" t="s">
        <v>232</v>
      </c>
      <c r="C144" s="82" t="s">
        <v>235</v>
      </c>
      <c r="D144" s="82">
        <v>33600</v>
      </c>
      <c r="E144" s="83" t="s">
        <v>231</v>
      </c>
    </row>
    <row r="145" spans="2:5" hidden="1" x14ac:dyDescent="0.3">
      <c r="B145" s="81" t="s">
        <v>234</v>
      </c>
      <c r="C145" s="82" t="s">
        <v>236</v>
      </c>
      <c r="D145" s="82">
        <v>28732</v>
      </c>
      <c r="E145" s="83" t="s">
        <v>231</v>
      </c>
    </row>
    <row r="146" spans="2:5" hidden="1" x14ac:dyDescent="0.3">
      <c r="B146" s="81" t="s">
        <v>229</v>
      </c>
      <c r="C146" s="82" t="s">
        <v>237</v>
      </c>
      <c r="D146" s="82">
        <v>3468</v>
      </c>
      <c r="E146" s="83" t="s">
        <v>231</v>
      </c>
    </row>
    <row r="147" spans="2:5" hidden="1" x14ac:dyDescent="0.3">
      <c r="B147" s="81" t="s">
        <v>238</v>
      </c>
      <c r="C147" s="82" t="s">
        <v>239</v>
      </c>
      <c r="D147" s="82">
        <v>26418</v>
      </c>
      <c r="E147" s="83" t="s">
        <v>231</v>
      </c>
    </row>
    <row r="148" spans="2:5" hidden="1" x14ac:dyDescent="0.3">
      <c r="B148" s="81" t="s">
        <v>187</v>
      </c>
      <c r="C148" s="82" t="s">
        <v>188</v>
      </c>
      <c r="D148" s="82">
        <v>31050</v>
      </c>
      <c r="E148" s="83" t="s">
        <v>189</v>
      </c>
    </row>
    <row r="149" spans="2:5" hidden="1" x14ac:dyDescent="0.3">
      <c r="B149" s="81" t="s">
        <v>190</v>
      </c>
      <c r="C149" s="82" t="s">
        <v>191</v>
      </c>
      <c r="D149" s="82">
        <v>31050</v>
      </c>
      <c r="E149" s="83" t="s">
        <v>189</v>
      </c>
    </row>
    <row r="150" spans="2:5" hidden="1" x14ac:dyDescent="0.3">
      <c r="B150" s="81" t="s">
        <v>192</v>
      </c>
      <c r="C150" s="82" t="s">
        <v>193</v>
      </c>
      <c r="D150" s="82">
        <v>37000</v>
      </c>
      <c r="E150" s="83" t="s">
        <v>189</v>
      </c>
    </row>
    <row r="151" spans="2:5" hidden="1" x14ac:dyDescent="0.3">
      <c r="B151" s="81" t="s">
        <v>194</v>
      </c>
      <c r="C151" s="82" t="s">
        <v>195</v>
      </c>
      <c r="D151" s="82">
        <v>3200</v>
      </c>
      <c r="E151" s="83" t="s">
        <v>189</v>
      </c>
    </row>
    <row r="152" spans="2:5" hidden="1" x14ac:dyDescent="0.3">
      <c r="B152" s="81" t="s">
        <v>196</v>
      </c>
      <c r="C152" s="82" t="s">
        <v>197</v>
      </c>
      <c r="D152" s="82">
        <v>1500</v>
      </c>
      <c r="E152" s="83" t="s">
        <v>189</v>
      </c>
    </row>
    <row r="153" spans="2:5" hidden="1" x14ac:dyDescent="0.3">
      <c r="B153" s="81" t="s">
        <v>198</v>
      </c>
      <c r="C153" s="82" t="s">
        <v>199</v>
      </c>
      <c r="D153" s="82">
        <v>1450</v>
      </c>
      <c r="E153" s="83" t="s">
        <v>189</v>
      </c>
    </row>
    <row r="154" spans="2:5" hidden="1" x14ac:dyDescent="0.3">
      <c r="B154" s="81" t="s">
        <v>200</v>
      </c>
      <c r="C154" s="82" t="s">
        <v>201</v>
      </c>
      <c r="D154" s="82">
        <v>56000</v>
      </c>
      <c r="E154" s="83" t="s">
        <v>189</v>
      </c>
    </row>
    <row r="155" spans="2:5" hidden="1" x14ac:dyDescent="0.3">
      <c r="B155" s="81" t="s">
        <v>202</v>
      </c>
      <c r="C155" s="82" t="s">
        <v>203</v>
      </c>
      <c r="D155" s="82">
        <v>2200</v>
      </c>
      <c r="E155" s="83" t="s">
        <v>189</v>
      </c>
    </row>
    <row r="156" spans="2:5" hidden="1" x14ac:dyDescent="0.3">
      <c r="B156" s="81" t="s">
        <v>204</v>
      </c>
      <c r="C156" s="82" t="s">
        <v>205</v>
      </c>
      <c r="D156" s="82">
        <v>125</v>
      </c>
      <c r="E156" s="83" t="s">
        <v>189</v>
      </c>
    </row>
    <row r="157" spans="2:5" hidden="1" x14ac:dyDescent="0.3">
      <c r="B157" s="81" t="s">
        <v>206</v>
      </c>
      <c r="C157" s="82" t="s">
        <v>207</v>
      </c>
      <c r="D157" s="82">
        <v>800</v>
      </c>
      <c r="E157" s="83" t="s">
        <v>189</v>
      </c>
    </row>
    <row r="158" spans="2:5" hidden="1" x14ac:dyDescent="0.3">
      <c r="B158" s="81" t="s">
        <v>208</v>
      </c>
      <c r="C158" s="82" t="s">
        <v>209</v>
      </c>
      <c r="D158" s="82">
        <v>14000</v>
      </c>
      <c r="E158" s="83" t="s">
        <v>189</v>
      </c>
    </row>
    <row r="159" spans="2:5" hidden="1" x14ac:dyDescent="0.3">
      <c r="B159" s="81" t="s">
        <v>210</v>
      </c>
      <c r="C159" s="82" t="s">
        <v>211</v>
      </c>
      <c r="D159" s="82">
        <v>25500</v>
      </c>
      <c r="E159" s="83" t="s">
        <v>189</v>
      </c>
    </row>
    <row r="160" spans="2:5" hidden="1" x14ac:dyDescent="0.3">
      <c r="B160" s="81" t="s">
        <v>212</v>
      </c>
      <c r="C160" s="82" t="s">
        <v>213</v>
      </c>
      <c r="D160" s="82">
        <v>7500</v>
      </c>
      <c r="E160" s="83" t="s">
        <v>189</v>
      </c>
    </row>
    <row r="161" spans="2:5" x14ac:dyDescent="0.3">
      <c r="B161" s="81" t="s">
        <v>214</v>
      </c>
      <c r="C161" s="82" t="s">
        <v>215</v>
      </c>
      <c r="D161" s="82">
        <v>1500</v>
      </c>
      <c r="E161" s="83" t="s">
        <v>189</v>
      </c>
    </row>
    <row r="162" spans="2:5" hidden="1" x14ac:dyDescent="0.3">
      <c r="B162" s="81" t="s">
        <v>216</v>
      </c>
      <c r="C162" s="82" t="s">
        <v>217</v>
      </c>
      <c r="D162" s="82">
        <v>1800</v>
      </c>
      <c r="E162" s="83" t="s">
        <v>189</v>
      </c>
    </row>
    <row r="163" spans="2:5" hidden="1" x14ac:dyDescent="0.3">
      <c r="B163" s="81" t="s">
        <v>218</v>
      </c>
      <c r="C163" s="82" t="s">
        <v>219</v>
      </c>
      <c r="D163" s="82">
        <v>1250</v>
      </c>
      <c r="E163" s="83" t="s">
        <v>189</v>
      </c>
    </row>
    <row r="164" spans="2:5" hidden="1" x14ac:dyDescent="0.3">
      <c r="B164" s="81" t="s">
        <v>187</v>
      </c>
      <c r="C164" s="82" t="s">
        <v>188</v>
      </c>
      <c r="D164" s="82">
        <v>31050</v>
      </c>
      <c r="E164" s="83" t="s">
        <v>189</v>
      </c>
    </row>
    <row r="165" spans="2:5" hidden="1" x14ac:dyDescent="0.3">
      <c r="B165" s="81" t="s">
        <v>220</v>
      </c>
      <c r="C165" s="82" t="s">
        <v>221</v>
      </c>
      <c r="D165" s="82">
        <v>38000</v>
      </c>
      <c r="E165" s="83" t="s">
        <v>189</v>
      </c>
    </row>
    <row r="166" spans="2:5" hidden="1" x14ac:dyDescent="0.3">
      <c r="B166" s="81" t="s">
        <v>222</v>
      </c>
      <c r="C166" s="82" t="s">
        <v>223</v>
      </c>
      <c r="D166" s="82"/>
      <c r="E166" s="83" t="s">
        <v>189</v>
      </c>
    </row>
    <row r="167" spans="2:5" hidden="1" x14ac:dyDescent="0.3">
      <c r="B167" s="81" t="s">
        <v>224</v>
      </c>
      <c r="C167" s="82" t="s">
        <v>225</v>
      </c>
      <c r="D167" s="82">
        <v>62</v>
      </c>
      <c r="E167" s="83" t="s">
        <v>226</v>
      </c>
    </row>
    <row r="168" spans="2:5" hidden="1" x14ac:dyDescent="0.3">
      <c r="B168" s="81" t="s">
        <v>227</v>
      </c>
      <c r="C168" s="82" t="s">
        <v>228</v>
      </c>
      <c r="D168" s="82">
        <v>3060</v>
      </c>
      <c r="E168" s="83" t="s">
        <v>226</v>
      </c>
    </row>
    <row r="169" spans="2:5" hidden="1" x14ac:dyDescent="0.3">
      <c r="B169" s="81" t="s">
        <v>240</v>
      </c>
      <c r="C169" s="82" t="s">
        <v>241</v>
      </c>
      <c r="D169" s="82">
        <v>2832</v>
      </c>
      <c r="E169" s="83" t="s">
        <v>242</v>
      </c>
    </row>
    <row r="170" spans="2:5" hidden="1" x14ac:dyDescent="0.3">
      <c r="B170" s="81" t="s">
        <v>243</v>
      </c>
      <c r="C170" s="82" t="s">
        <v>244</v>
      </c>
      <c r="D170" s="82">
        <v>4724</v>
      </c>
      <c r="E170" s="83" t="s">
        <v>245</v>
      </c>
    </row>
    <row r="171" spans="2:5" hidden="1" x14ac:dyDescent="0.3">
      <c r="B171" s="81" t="s">
        <v>246</v>
      </c>
      <c r="C171" s="82" t="s">
        <v>247</v>
      </c>
      <c r="D171" s="82">
        <v>5899</v>
      </c>
      <c r="E171" s="83" t="s">
        <v>245</v>
      </c>
    </row>
    <row r="172" spans="2:5" hidden="1" x14ac:dyDescent="0.3">
      <c r="B172" s="81" t="s">
        <v>248</v>
      </c>
      <c r="C172" s="82" t="s">
        <v>249</v>
      </c>
      <c r="D172" s="82">
        <v>7085</v>
      </c>
      <c r="E172" s="83" t="s">
        <v>245</v>
      </c>
    </row>
    <row r="173" spans="2:5" hidden="1" x14ac:dyDescent="0.3">
      <c r="B173" s="81" t="s">
        <v>250</v>
      </c>
      <c r="C173" s="82" t="s">
        <v>251</v>
      </c>
      <c r="D173" s="82">
        <v>4295</v>
      </c>
      <c r="E173" s="83" t="s">
        <v>245</v>
      </c>
    </row>
    <row r="174" spans="2:5" hidden="1" x14ac:dyDescent="0.3">
      <c r="B174" s="81" t="s">
        <v>252</v>
      </c>
      <c r="C174" s="82" t="s">
        <v>253</v>
      </c>
      <c r="D174" s="82">
        <v>8350</v>
      </c>
      <c r="E174" s="83" t="s">
        <v>254</v>
      </c>
    </row>
    <row r="175" spans="2:5" hidden="1" x14ac:dyDescent="0.3">
      <c r="B175" s="81" t="s">
        <v>255</v>
      </c>
      <c r="C175" s="82" t="s">
        <v>256</v>
      </c>
      <c r="D175" s="82">
        <v>1755</v>
      </c>
      <c r="E175" s="83" t="s">
        <v>254</v>
      </c>
    </row>
    <row r="176" spans="2:5" hidden="1" x14ac:dyDescent="0.3">
      <c r="B176" s="81" t="s">
        <v>257</v>
      </c>
      <c r="C176" s="82" t="s">
        <v>258</v>
      </c>
      <c r="D176" s="82">
        <v>23920</v>
      </c>
      <c r="E176" s="83" t="s">
        <v>254</v>
      </c>
    </row>
    <row r="177" spans="2:5" hidden="1" x14ac:dyDescent="0.3">
      <c r="B177" s="81" t="s">
        <v>259</v>
      </c>
      <c r="C177" s="82" t="s">
        <v>260</v>
      </c>
      <c r="D177" s="82">
        <v>1730</v>
      </c>
      <c r="E177" s="83" t="s">
        <v>261</v>
      </c>
    </row>
    <row r="178" spans="2:5" hidden="1" x14ac:dyDescent="0.3">
      <c r="B178" s="81" t="s">
        <v>262</v>
      </c>
      <c r="C178" s="82" t="s">
        <v>263</v>
      </c>
      <c r="D178" s="82">
        <v>907</v>
      </c>
      <c r="E178" s="83" t="s">
        <v>261</v>
      </c>
    </row>
    <row r="179" spans="2:5" hidden="1" x14ac:dyDescent="0.3">
      <c r="B179" s="81" t="s">
        <v>264</v>
      </c>
      <c r="C179" s="82" t="s">
        <v>265</v>
      </c>
      <c r="D179" s="82">
        <v>7961</v>
      </c>
      <c r="E179" s="83" t="s">
        <v>261</v>
      </c>
    </row>
    <row r="180" spans="2:5" hidden="1" x14ac:dyDescent="0.3">
      <c r="B180" s="81" t="s">
        <v>266</v>
      </c>
      <c r="C180" s="82" t="s">
        <v>267</v>
      </c>
      <c r="D180" s="82">
        <v>9798</v>
      </c>
      <c r="E180" s="83" t="s">
        <v>261</v>
      </c>
    </row>
    <row r="181" spans="2:5" hidden="1" x14ac:dyDescent="0.3">
      <c r="B181" s="81"/>
      <c r="C181" s="82"/>
      <c r="D181" s="82"/>
      <c r="E181" s="83" t="s">
        <v>261</v>
      </c>
    </row>
    <row r="182" spans="2:5" hidden="1" x14ac:dyDescent="0.3">
      <c r="B182" s="81"/>
      <c r="C182" s="82"/>
      <c r="D182" s="82"/>
      <c r="E182" s="83" t="s">
        <v>261</v>
      </c>
    </row>
    <row r="183" spans="2:5" hidden="1" x14ac:dyDescent="0.3">
      <c r="B183" s="81"/>
      <c r="C183" s="82"/>
      <c r="D183" s="82"/>
      <c r="E183" s="83" t="s">
        <v>261</v>
      </c>
    </row>
    <row r="184" spans="2:5" hidden="1" x14ac:dyDescent="0.3">
      <c r="B184" s="81"/>
      <c r="C184" s="82"/>
      <c r="D184" s="82"/>
      <c r="E184" s="83" t="s">
        <v>261</v>
      </c>
    </row>
    <row r="185" spans="2:5" hidden="1" x14ac:dyDescent="0.3">
      <c r="B185" s="81"/>
      <c r="C185" s="82"/>
      <c r="D185" s="82"/>
      <c r="E185" s="83" t="s">
        <v>261</v>
      </c>
    </row>
    <row r="186" spans="2:5" x14ac:dyDescent="0.3">
      <c r="B186" s="81" t="s">
        <v>268</v>
      </c>
      <c r="C186" s="82" t="s">
        <v>269</v>
      </c>
      <c r="D186" s="82">
        <v>9030</v>
      </c>
      <c r="E186" s="83" t="s">
        <v>270</v>
      </c>
    </row>
    <row r="187" spans="2:5" x14ac:dyDescent="0.3">
      <c r="B187" s="81" t="s">
        <v>271</v>
      </c>
      <c r="C187" s="82" t="s">
        <v>272</v>
      </c>
      <c r="D187" s="82">
        <v>3218</v>
      </c>
      <c r="E187" s="83" t="s">
        <v>270</v>
      </c>
    </row>
    <row r="188" spans="2:5" x14ac:dyDescent="0.3">
      <c r="B188" s="81" t="s">
        <v>273</v>
      </c>
      <c r="C188" s="82" t="s">
        <v>274</v>
      </c>
      <c r="D188" s="82">
        <v>3120</v>
      </c>
      <c r="E188" s="83" t="s">
        <v>270</v>
      </c>
    </row>
    <row r="189" spans="2:5" x14ac:dyDescent="0.3">
      <c r="B189" s="81" t="s">
        <v>275</v>
      </c>
      <c r="C189" s="82" t="s">
        <v>276</v>
      </c>
      <c r="D189" s="82">
        <v>5355</v>
      </c>
      <c r="E189" s="83" t="s">
        <v>270</v>
      </c>
    </row>
    <row r="190" spans="2:5" x14ac:dyDescent="0.3">
      <c r="B190" s="81" t="s">
        <v>277</v>
      </c>
      <c r="C190" s="82" t="s">
        <v>278</v>
      </c>
      <c r="D190" s="82">
        <v>3840</v>
      </c>
      <c r="E190" s="83" t="s">
        <v>270</v>
      </c>
    </row>
    <row r="191" spans="2:5" hidden="1" x14ac:dyDescent="0.3">
      <c r="B191" s="81" t="s">
        <v>279</v>
      </c>
      <c r="C191" s="82" t="s">
        <v>280</v>
      </c>
      <c r="D191" s="82">
        <v>9200</v>
      </c>
      <c r="E191" s="83" t="s">
        <v>270</v>
      </c>
    </row>
    <row r="192" spans="2:5" hidden="1" x14ac:dyDescent="0.3">
      <c r="B192" s="81" t="s">
        <v>281</v>
      </c>
      <c r="C192" s="82" t="s">
        <v>282</v>
      </c>
      <c r="D192" s="82">
        <v>9128</v>
      </c>
      <c r="E192" s="83" t="s">
        <v>270</v>
      </c>
    </row>
    <row r="193" spans="2:5" hidden="1" x14ac:dyDescent="0.3">
      <c r="B193" s="81" t="s">
        <v>283</v>
      </c>
      <c r="C193" s="82" t="s">
        <v>284</v>
      </c>
      <c r="D193" s="82">
        <v>2052</v>
      </c>
      <c r="E193" s="83" t="s">
        <v>270</v>
      </c>
    </row>
    <row r="194" spans="2:5" hidden="1" x14ac:dyDescent="0.3">
      <c r="B194" s="81" t="s">
        <v>285</v>
      </c>
      <c r="C194" s="82"/>
      <c r="D194" s="82"/>
      <c r="E194" s="83" t="s">
        <v>270</v>
      </c>
    </row>
    <row r="195" spans="2:5" x14ac:dyDescent="0.3">
      <c r="B195" s="65"/>
      <c r="C195" s="59"/>
      <c r="D195" s="59"/>
      <c r="E195" s="59"/>
    </row>
    <row r="196" spans="2:5" x14ac:dyDescent="0.3">
      <c r="B196" s="65"/>
      <c r="C196" s="59"/>
      <c r="D196" s="59"/>
      <c r="E196" s="59"/>
    </row>
    <row r="197" spans="2:5" x14ac:dyDescent="0.3">
      <c r="B197" s="65"/>
      <c r="C197" s="59"/>
      <c r="D197" s="59"/>
      <c r="E197" s="59"/>
    </row>
    <row r="198" spans="2:5" x14ac:dyDescent="0.3">
      <c r="B198" s="65"/>
      <c r="C198" s="59"/>
      <c r="D198" s="59"/>
      <c r="E198" s="59"/>
    </row>
    <row r="199" spans="2:5" x14ac:dyDescent="0.3">
      <c r="B199" s="65"/>
      <c r="C199" s="59"/>
      <c r="D199" s="59"/>
      <c r="E199" s="59"/>
    </row>
    <row r="200" spans="2:5" x14ac:dyDescent="0.3">
      <c r="B200" s="65"/>
      <c r="C200" s="59"/>
      <c r="D200" s="59"/>
      <c r="E200" s="59"/>
    </row>
    <row r="201" spans="2:5" x14ac:dyDescent="0.3">
      <c r="B201" s="65"/>
      <c r="C201" s="59"/>
      <c r="D201" s="59"/>
      <c r="E201" s="59"/>
    </row>
    <row r="202" spans="2:5" x14ac:dyDescent="0.3">
      <c r="B202" s="65"/>
      <c r="C202" s="59"/>
      <c r="D202" s="59"/>
      <c r="E202" s="59"/>
    </row>
    <row r="203" spans="2:5" x14ac:dyDescent="0.3">
      <c r="B203" s="65"/>
      <c r="C203" s="59"/>
      <c r="D203" s="59"/>
      <c r="E203" s="59"/>
    </row>
    <row r="204" spans="2:5" x14ac:dyDescent="0.3">
      <c r="B204" s="65"/>
      <c r="C204" s="59"/>
      <c r="D204" s="59"/>
      <c r="E204" s="59"/>
    </row>
    <row r="205" spans="2:5" x14ac:dyDescent="0.3">
      <c r="B205" s="65"/>
      <c r="C205" s="59"/>
      <c r="D205" s="59"/>
      <c r="E205" s="59"/>
    </row>
    <row r="206" spans="2:5" x14ac:dyDescent="0.3">
      <c r="B206" s="65"/>
      <c r="C206" s="59"/>
      <c r="D206" s="59"/>
      <c r="E206" s="59"/>
    </row>
    <row r="207" spans="2:5" x14ac:dyDescent="0.3">
      <c r="B207" s="65"/>
      <c r="C207" s="59"/>
      <c r="D207" s="59"/>
      <c r="E207" s="59"/>
    </row>
    <row r="208" spans="2:5" x14ac:dyDescent="0.3">
      <c r="B208" s="65"/>
      <c r="C208" s="59"/>
      <c r="D208" s="59"/>
      <c r="E208" s="59"/>
    </row>
    <row r="209" spans="2:5" x14ac:dyDescent="0.3">
      <c r="B209" s="65"/>
      <c r="C209" s="59"/>
      <c r="D209" s="59"/>
      <c r="E209" s="59"/>
    </row>
    <row r="210" spans="2:5" x14ac:dyDescent="0.3">
      <c r="B210" s="65"/>
      <c r="C210" s="59"/>
      <c r="D210" s="59"/>
      <c r="E210" s="59"/>
    </row>
    <row r="211" spans="2:5" x14ac:dyDescent="0.3">
      <c r="B211" s="65"/>
      <c r="C211" s="59"/>
      <c r="D211" s="59"/>
      <c r="E211" s="59"/>
    </row>
    <row r="212" spans="2:5" x14ac:dyDescent="0.3">
      <c r="B212" s="65"/>
      <c r="C212" s="59"/>
      <c r="D212" s="59"/>
      <c r="E212" s="59"/>
    </row>
    <row r="213" spans="2:5" x14ac:dyDescent="0.3">
      <c r="B213" s="65"/>
      <c r="C213" s="59"/>
      <c r="D213" s="59"/>
      <c r="E213" s="59"/>
    </row>
    <row r="214" spans="2:5" x14ac:dyDescent="0.3">
      <c r="B214" s="65"/>
      <c r="C214" s="59"/>
      <c r="D214" s="59"/>
      <c r="E214" s="59"/>
    </row>
    <row r="215" spans="2:5" x14ac:dyDescent="0.3">
      <c r="B215" s="65"/>
      <c r="C215" s="59"/>
      <c r="D215" s="59"/>
      <c r="E215" s="59"/>
    </row>
    <row r="216" spans="2:5" x14ac:dyDescent="0.3">
      <c r="B216" s="65"/>
      <c r="C216" s="59"/>
      <c r="D216" s="59"/>
      <c r="E216" s="59"/>
    </row>
    <row r="217" spans="2:5" x14ac:dyDescent="0.3">
      <c r="B217" s="65"/>
      <c r="C217" s="59"/>
      <c r="D217" s="59"/>
      <c r="E217" s="59"/>
    </row>
    <row r="218" spans="2:5" x14ac:dyDescent="0.3">
      <c r="B218" s="65"/>
      <c r="C218" s="59"/>
      <c r="D218" s="59"/>
      <c r="E218" s="59"/>
    </row>
    <row r="219" spans="2:5" x14ac:dyDescent="0.3">
      <c r="B219" s="65"/>
      <c r="C219" s="59"/>
      <c r="D219" s="59"/>
      <c r="E219" s="59"/>
    </row>
    <row r="220" spans="2:5" x14ac:dyDescent="0.3">
      <c r="B220" s="65"/>
      <c r="C220" s="59"/>
      <c r="D220" s="59"/>
      <c r="E220" s="59"/>
    </row>
    <row r="221" spans="2:5" x14ac:dyDescent="0.3">
      <c r="B221" s="65"/>
      <c r="C221" s="59"/>
      <c r="D221" s="59"/>
      <c r="E221" s="59"/>
    </row>
    <row r="222" spans="2:5" x14ac:dyDescent="0.3">
      <c r="B222" s="65"/>
      <c r="C222" s="59"/>
      <c r="D222" s="59"/>
      <c r="E222" s="59"/>
    </row>
    <row r="223" spans="2:5" x14ac:dyDescent="0.3">
      <c r="B223" s="65"/>
      <c r="C223" s="59"/>
      <c r="D223" s="59"/>
      <c r="E223" s="59"/>
    </row>
    <row r="224" spans="2:5" x14ac:dyDescent="0.3">
      <c r="B224" s="65"/>
      <c r="C224" s="59"/>
      <c r="D224" s="59"/>
      <c r="E224" s="59"/>
    </row>
    <row r="225" spans="2:5" x14ac:dyDescent="0.3">
      <c r="B225" s="65"/>
      <c r="C225" s="59"/>
      <c r="D225" s="59"/>
      <c r="E225" s="59"/>
    </row>
    <row r="226" spans="2:5" x14ac:dyDescent="0.3">
      <c r="B226" s="65"/>
      <c r="C226" s="59"/>
      <c r="D226" s="59"/>
      <c r="E226" s="59"/>
    </row>
    <row r="227" spans="2:5" x14ac:dyDescent="0.3">
      <c r="B227" s="65"/>
      <c r="C227" s="59"/>
      <c r="D227" s="59"/>
      <c r="E227" s="59"/>
    </row>
    <row r="228" spans="2:5" x14ac:dyDescent="0.3">
      <c r="B228" s="65"/>
      <c r="C228" s="59"/>
      <c r="D228" s="59"/>
      <c r="E228" s="59"/>
    </row>
    <row r="229" spans="2:5" x14ac:dyDescent="0.3">
      <c r="B229" s="65"/>
      <c r="C229" s="59"/>
      <c r="D229" s="59"/>
      <c r="E229" s="59"/>
    </row>
    <row r="230" spans="2:5" x14ac:dyDescent="0.3">
      <c r="B230" s="65"/>
      <c r="C230" s="59"/>
      <c r="D230" s="59"/>
      <c r="E230" s="59"/>
    </row>
    <row r="231" spans="2:5" x14ac:dyDescent="0.3">
      <c r="B231" s="65"/>
      <c r="C231" s="59"/>
      <c r="D231" s="59"/>
      <c r="E231" s="59"/>
    </row>
    <row r="232" spans="2:5" x14ac:dyDescent="0.3">
      <c r="B232" s="65"/>
      <c r="C232" s="59"/>
      <c r="D232" s="59"/>
      <c r="E232" s="59"/>
    </row>
    <row r="233" spans="2:5" x14ac:dyDescent="0.3">
      <c r="B233" s="65"/>
      <c r="C233" s="59"/>
      <c r="D233" s="59"/>
      <c r="E233" s="59"/>
    </row>
    <row r="234" spans="2:5" x14ac:dyDescent="0.3">
      <c r="B234" s="65"/>
      <c r="C234" s="59"/>
      <c r="D234" s="59"/>
      <c r="E234" s="59"/>
    </row>
    <row r="235" spans="2:5" x14ac:dyDescent="0.3">
      <c r="B235" s="65"/>
      <c r="C235" s="59"/>
      <c r="D235" s="59"/>
      <c r="E235" s="59"/>
    </row>
    <row r="236" spans="2:5" x14ac:dyDescent="0.3">
      <c r="B236" s="65"/>
      <c r="C236" s="59"/>
      <c r="D236" s="59"/>
      <c r="E236" s="59"/>
    </row>
    <row r="237" spans="2:5" x14ac:dyDescent="0.3">
      <c r="B237" s="65"/>
      <c r="C237" s="59"/>
      <c r="D237" s="59"/>
      <c r="E237" s="59"/>
    </row>
    <row r="238" spans="2:5" x14ac:dyDescent="0.3">
      <c r="B238" s="65"/>
      <c r="C238" s="59"/>
      <c r="D238" s="59"/>
      <c r="E238" s="59"/>
    </row>
    <row r="239" spans="2:5" x14ac:dyDescent="0.3">
      <c r="B239" s="65"/>
      <c r="C239" s="59"/>
      <c r="D239" s="59"/>
      <c r="E239" s="59"/>
    </row>
    <row r="240" spans="2:5" x14ac:dyDescent="0.3">
      <c r="B240" s="65"/>
      <c r="C240" s="59"/>
      <c r="D240" s="59"/>
      <c r="E240" s="59"/>
    </row>
    <row r="241" spans="2:5" x14ac:dyDescent="0.3">
      <c r="B241" s="65"/>
      <c r="C241" s="59"/>
      <c r="D241" s="59"/>
      <c r="E241" s="59"/>
    </row>
    <row r="242" spans="2:5" x14ac:dyDescent="0.3">
      <c r="B242" s="65"/>
      <c r="C242" s="59"/>
      <c r="D242" s="59"/>
      <c r="E242" s="59"/>
    </row>
    <row r="243" spans="2:5" x14ac:dyDescent="0.3">
      <c r="B243" s="65"/>
      <c r="C243" s="59"/>
      <c r="D243" s="59"/>
      <c r="E243" s="59"/>
    </row>
    <row r="244" spans="2:5" x14ac:dyDescent="0.3">
      <c r="B244" s="65"/>
      <c r="C244" s="59"/>
      <c r="D244" s="59"/>
      <c r="E244" s="59"/>
    </row>
    <row r="245" spans="2:5" x14ac:dyDescent="0.3">
      <c r="B245" s="65"/>
      <c r="C245" s="59"/>
      <c r="D245" s="59"/>
      <c r="E245" s="59"/>
    </row>
    <row r="246" spans="2:5" x14ac:dyDescent="0.3">
      <c r="B246" s="65"/>
      <c r="C246" s="59"/>
      <c r="D246" s="59"/>
      <c r="E246" s="59"/>
    </row>
    <row r="247" spans="2:5" x14ac:dyDescent="0.3">
      <c r="B247" s="65"/>
      <c r="C247" s="59"/>
      <c r="D247" s="59"/>
      <c r="E247" s="59"/>
    </row>
    <row r="248" spans="2:5" x14ac:dyDescent="0.3">
      <c r="B248" s="65"/>
      <c r="C248" s="59"/>
      <c r="D248" s="59"/>
      <c r="E248" s="59"/>
    </row>
    <row r="249" spans="2:5" x14ac:dyDescent="0.3">
      <c r="B249" s="65"/>
      <c r="C249" s="59"/>
      <c r="D249" s="59"/>
      <c r="E249" s="59"/>
    </row>
    <row r="250" spans="2:5" x14ac:dyDescent="0.3">
      <c r="B250" s="65"/>
      <c r="C250" s="59"/>
      <c r="D250" s="59"/>
      <c r="E250" s="59"/>
    </row>
    <row r="251" spans="2:5" x14ac:dyDescent="0.3">
      <c r="B251" s="65"/>
      <c r="C251" s="59"/>
      <c r="D251" s="59"/>
      <c r="E251" s="59"/>
    </row>
    <row r="252" spans="2:5" x14ac:dyDescent="0.3">
      <c r="B252" s="65"/>
      <c r="C252" s="59"/>
      <c r="D252" s="59"/>
      <c r="E252" s="59"/>
    </row>
    <row r="253" spans="2:5" x14ac:dyDescent="0.3">
      <c r="B253" s="65"/>
      <c r="C253" s="59"/>
      <c r="D253" s="59"/>
      <c r="E253" s="59"/>
    </row>
    <row r="254" spans="2:5" x14ac:dyDescent="0.3">
      <c r="B254" s="65"/>
      <c r="C254" s="59"/>
      <c r="D254" s="59"/>
      <c r="E254" s="59"/>
    </row>
    <row r="255" spans="2:5" x14ac:dyDescent="0.3">
      <c r="B255" s="65"/>
      <c r="C255" s="59"/>
      <c r="D255" s="59"/>
      <c r="E255" s="59"/>
    </row>
    <row r="256" spans="2:5" x14ac:dyDescent="0.3">
      <c r="B256" s="65"/>
      <c r="C256" s="59"/>
      <c r="D256" s="59"/>
      <c r="E256" s="59"/>
    </row>
    <row r="257" spans="2:5" x14ac:dyDescent="0.3">
      <c r="B257" s="65"/>
      <c r="C257" s="59"/>
      <c r="D257" s="59"/>
      <c r="E257" s="59"/>
    </row>
    <row r="258" spans="2:5" x14ac:dyDescent="0.3">
      <c r="B258" s="65"/>
      <c r="C258" s="59"/>
      <c r="D258" s="59"/>
      <c r="E258" s="59"/>
    </row>
    <row r="259" spans="2:5" x14ac:dyDescent="0.3">
      <c r="B259" s="65"/>
      <c r="C259" s="59"/>
      <c r="D259" s="59"/>
      <c r="E259" s="59"/>
    </row>
    <row r="260" spans="2:5" x14ac:dyDescent="0.3">
      <c r="B260" s="65"/>
      <c r="C260" s="59"/>
      <c r="D260" s="59"/>
      <c r="E260" s="59"/>
    </row>
    <row r="261" spans="2:5" x14ac:dyDescent="0.3">
      <c r="B261" s="65"/>
      <c r="C261" s="59"/>
      <c r="D261" s="59"/>
      <c r="E261" s="59"/>
    </row>
    <row r="262" spans="2:5" x14ac:dyDescent="0.3">
      <c r="B262" s="65"/>
      <c r="C262" s="59"/>
      <c r="D262" s="59"/>
      <c r="E262" s="59"/>
    </row>
    <row r="263" spans="2:5" x14ac:dyDescent="0.3">
      <c r="B263" s="65"/>
      <c r="C263" s="59"/>
      <c r="D263" s="59"/>
      <c r="E263" s="59"/>
    </row>
    <row r="264" spans="2:5" x14ac:dyDescent="0.3">
      <c r="B264" s="65"/>
      <c r="C264" s="59"/>
      <c r="D264" s="59"/>
      <c r="E264" s="59"/>
    </row>
    <row r="265" spans="2:5" x14ac:dyDescent="0.3">
      <c r="B265" s="65"/>
      <c r="C265" s="59"/>
      <c r="D265" s="59"/>
      <c r="E265" s="59"/>
    </row>
    <row r="266" spans="2:5" x14ac:dyDescent="0.3">
      <c r="B266" s="65"/>
      <c r="C266" s="59"/>
      <c r="D266" s="59"/>
      <c r="E266" s="59"/>
    </row>
    <row r="267" spans="2:5" x14ac:dyDescent="0.3">
      <c r="B267" s="65"/>
      <c r="C267" s="59"/>
      <c r="D267" s="59"/>
      <c r="E267" s="59"/>
    </row>
    <row r="268" spans="2:5" x14ac:dyDescent="0.3">
      <c r="B268" s="65"/>
      <c r="C268" s="59"/>
      <c r="D268" s="59"/>
      <c r="E268" s="59"/>
    </row>
    <row r="269" spans="2:5" x14ac:dyDescent="0.3">
      <c r="B269" s="65"/>
      <c r="C269" s="59"/>
      <c r="D269" s="59"/>
      <c r="E269" s="59"/>
    </row>
    <row r="270" spans="2:5" x14ac:dyDescent="0.3">
      <c r="B270" s="65"/>
      <c r="C270" s="59"/>
      <c r="D270" s="59"/>
      <c r="E270" s="59"/>
    </row>
    <row r="271" spans="2:5" x14ac:dyDescent="0.3">
      <c r="B271" s="65"/>
      <c r="C271" s="59"/>
      <c r="D271" s="59"/>
      <c r="E271" s="59"/>
    </row>
    <row r="272" spans="2:5" x14ac:dyDescent="0.3">
      <c r="B272" s="65"/>
      <c r="C272" s="59"/>
      <c r="D272" s="59"/>
      <c r="E272" s="59"/>
    </row>
    <row r="273" spans="2:5" x14ac:dyDescent="0.3">
      <c r="B273" s="65"/>
      <c r="C273" s="59"/>
      <c r="D273" s="59"/>
      <c r="E273" s="59"/>
    </row>
    <row r="274" spans="2:5" x14ac:dyDescent="0.3">
      <c r="B274" s="65"/>
      <c r="C274" s="59"/>
      <c r="D274" s="59"/>
      <c r="E274" s="59"/>
    </row>
    <row r="275" spans="2:5" x14ac:dyDescent="0.3">
      <c r="B275" s="65"/>
      <c r="C275" s="59"/>
      <c r="D275" s="59"/>
      <c r="E275" s="59"/>
    </row>
    <row r="276" spans="2:5" x14ac:dyDescent="0.3">
      <c r="B276" s="65"/>
      <c r="C276" s="59"/>
      <c r="D276" s="59"/>
      <c r="E276" s="59"/>
    </row>
    <row r="277" spans="2:5" x14ac:dyDescent="0.3">
      <c r="B277" s="65"/>
      <c r="C277" s="59"/>
      <c r="D277" s="59"/>
      <c r="E277" s="59"/>
    </row>
    <row r="278" spans="2:5" x14ac:dyDescent="0.3">
      <c r="B278" s="65"/>
      <c r="C278" s="59"/>
      <c r="D278" s="59"/>
      <c r="E278" s="59"/>
    </row>
    <row r="279" spans="2:5" x14ac:dyDescent="0.3">
      <c r="B279" s="65"/>
      <c r="C279" s="59"/>
      <c r="D279" s="59"/>
      <c r="E279" s="59"/>
    </row>
    <row r="280" spans="2:5" x14ac:dyDescent="0.3">
      <c r="B280" s="65"/>
      <c r="C280" s="59"/>
      <c r="D280" s="59"/>
      <c r="E280" s="59"/>
    </row>
    <row r="281" spans="2:5" x14ac:dyDescent="0.3">
      <c r="B281" s="65"/>
      <c r="C281" s="59"/>
      <c r="D281" s="59"/>
      <c r="E281" s="59"/>
    </row>
    <row r="282" spans="2:5" x14ac:dyDescent="0.3">
      <c r="B282" s="65"/>
      <c r="C282" s="59"/>
      <c r="D282" s="59"/>
      <c r="E282" s="59"/>
    </row>
    <row r="283" spans="2:5" x14ac:dyDescent="0.3">
      <c r="B283" s="65"/>
      <c r="C283" s="59"/>
      <c r="D283" s="59"/>
      <c r="E283" s="59"/>
    </row>
    <row r="284" spans="2:5" x14ac:dyDescent="0.3">
      <c r="B284" s="65"/>
      <c r="C284" s="59"/>
      <c r="D284" s="59"/>
      <c r="E284" s="59"/>
    </row>
    <row r="285" spans="2:5" x14ac:dyDescent="0.3">
      <c r="B285" s="65"/>
      <c r="C285" s="59"/>
      <c r="D285" s="59"/>
      <c r="E285" s="59"/>
    </row>
    <row r="286" spans="2:5" x14ac:dyDescent="0.3">
      <c r="B286" s="65"/>
      <c r="C286" s="59"/>
      <c r="D286" s="59"/>
      <c r="E286" s="59"/>
    </row>
    <row r="287" spans="2:5" x14ac:dyDescent="0.3">
      <c r="B287" s="65"/>
      <c r="C287" s="59"/>
      <c r="D287" s="59"/>
      <c r="E287" s="59"/>
    </row>
    <row r="288" spans="2:5" x14ac:dyDescent="0.3">
      <c r="B288" s="65"/>
      <c r="C288" s="59"/>
      <c r="D288" s="59"/>
      <c r="E288" s="59"/>
    </row>
    <row r="289" spans="2:5" x14ac:dyDescent="0.3">
      <c r="B289" s="65"/>
      <c r="C289" s="59"/>
      <c r="D289" s="59"/>
      <c r="E289" s="59"/>
    </row>
    <row r="290" spans="2:5" x14ac:dyDescent="0.3">
      <c r="B290" s="65"/>
      <c r="C290" s="59"/>
      <c r="D290" s="59"/>
      <c r="E290" s="59"/>
    </row>
    <row r="291" spans="2:5" x14ac:dyDescent="0.3">
      <c r="B291" s="65"/>
      <c r="C291" s="59"/>
      <c r="D291" s="59"/>
      <c r="E291" s="59"/>
    </row>
    <row r="292" spans="2:5" x14ac:dyDescent="0.3">
      <c r="B292" s="65"/>
      <c r="C292" s="59"/>
      <c r="D292" s="59"/>
      <c r="E292" s="59"/>
    </row>
    <row r="293" spans="2:5" x14ac:dyDescent="0.3">
      <c r="B293" s="65"/>
      <c r="C293" s="59"/>
      <c r="D293" s="59"/>
      <c r="E293" s="59"/>
    </row>
    <row r="294" spans="2:5" x14ac:dyDescent="0.3">
      <c r="B294" s="65"/>
      <c r="C294" s="59"/>
      <c r="D294" s="59"/>
      <c r="E294" s="59"/>
    </row>
    <row r="295" spans="2:5" x14ac:dyDescent="0.3">
      <c r="B295" s="65"/>
      <c r="C295" s="59"/>
      <c r="D295" s="59"/>
      <c r="E295" s="59"/>
    </row>
    <row r="296" spans="2:5" x14ac:dyDescent="0.3">
      <c r="B296" s="65"/>
      <c r="C296" s="59"/>
      <c r="D296" s="59"/>
      <c r="E296" s="59"/>
    </row>
    <row r="297" spans="2:5" x14ac:dyDescent="0.3">
      <c r="B297" s="65"/>
      <c r="C297" s="59"/>
      <c r="D297" s="59"/>
      <c r="E297" s="59"/>
    </row>
    <row r="298" spans="2:5" x14ac:dyDescent="0.3">
      <c r="B298" s="65"/>
      <c r="C298" s="59"/>
      <c r="D298" s="59"/>
      <c r="E298" s="59"/>
    </row>
    <row r="299" spans="2:5" x14ac:dyDescent="0.3">
      <c r="B299" s="65"/>
      <c r="C299" s="59"/>
      <c r="D299" s="59"/>
      <c r="E299" s="59"/>
    </row>
    <row r="300" spans="2:5" x14ac:dyDescent="0.3">
      <c r="B300" s="65"/>
      <c r="C300" s="59"/>
      <c r="D300" s="59"/>
      <c r="E300" s="59"/>
    </row>
    <row r="301" spans="2:5" x14ac:dyDescent="0.3">
      <c r="B301" s="65"/>
      <c r="C301" s="59"/>
      <c r="D301" s="59"/>
      <c r="E301" s="59"/>
    </row>
    <row r="302" spans="2:5" x14ac:dyDescent="0.3">
      <c r="B302" s="65"/>
      <c r="C302" s="59"/>
      <c r="D302" s="59"/>
      <c r="E302" s="59"/>
    </row>
    <row r="303" spans="2:5" x14ac:dyDescent="0.3">
      <c r="B303" s="65"/>
      <c r="C303" s="59"/>
      <c r="D303" s="59"/>
      <c r="E303" s="59"/>
    </row>
    <row r="304" spans="2:5" x14ac:dyDescent="0.3">
      <c r="B304" s="65"/>
      <c r="C304" s="59"/>
      <c r="D304" s="59"/>
      <c r="E304" s="59"/>
    </row>
    <row r="305" spans="2:5" x14ac:dyDescent="0.3">
      <c r="B305" s="65"/>
      <c r="C305" s="59"/>
      <c r="D305" s="59"/>
      <c r="E305" s="59"/>
    </row>
    <row r="306" spans="2:5" x14ac:dyDescent="0.3">
      <c r="B306" s="65"/>
      <c r="C306" s="59"/>
      <c r="D306" s="59"/>
      <c r="E306" s="59"/>
    </row>
    <row r="307" spans="2:5" x14ac:dyDescent="0.3">
      <c r="B307" s="65"/>
      <c r="C307" s="59"/>
      <c r="D307" s="59"/>
      <c r="E307" s="59"/>
    </row>
    <row r="308" spans="2:5" x14ac:dyDescent="0.3">
      <c r="B308" s="65"/>
      <c r="C308" s="59"/>
      <c r="D308" s="59"/>
      <c r="E308" s="59"/>
    </row>
    <row r="309" spans="2:5" x14ac:dyDescent="0.3">
      <c r="B309" s="65"/>
      <c r="C309" s="59"/>
      <c r="D309" s="59"/>
      <c r="E309" s="59"/>
    </row>
    <row r="310" spans="2:5" x14ac:dyDescent="0.3">
      <c r="B310" s="65"/>
      <c r="C310" s="59"/>
      <c r="D310" s="59"/>
      <c r="E310" s="59"/>
    </row>
    <row r="311" spans="2:5" x14ac:dyDescent="0.3">
      <c r="B311" s="65"/>
      <c r="C311" s="59"/>
      <c r="D311" s="59"/>
      <c r="E311" s="59"/>
    </row>
    <row r="312" spans="2:5" x14ac:dyDescent="0.3">
      <c r="B312" s="65"/>
      <c r="C312" s="59"/>
      <c r="D312" s="59"/>
      <c r="E312" s="59"/>
    </row>
    <row r="313" spans="2:5" x14ac:dyDescent="0.3">
      <c r="B313" s="65"/>
      <c r="C313" s="59"/>
      <c r="D313" s="59"/>
      <c r="E313" s="59"/>
    </row>
    <row r="314" spans="2:5" x14ac:dyDescent="0.3">
      <c r="B314" s="65"/>
      <c r="C314" s="59"/>
      <c r="D314" s="59"/>
      <c r="E314" s="59"/>
    </row>
    <row r="315" spans="2:5" x14ac:dyDescent="0.3">
      <c r="B315" s="65"/>
      <c r="C315" s="59"/>
      <c r="D315" s="59"/>
      <c r="E315" s="59"/>
    </row>
    <row r="316" spans="2:5" x14ac:dyDescent="0.3">
      <c r="B316" s="65"/>
      <c r="C316" s="59"/>
      <c r="D316" s="59"/>
      <c r="E316" s="59"/>
    </row>
    <row r="317" spans="2:5" x14ac:dyDescent="0.3">
      <c r="B317" s="65"/>
      <c r="C317" s="59"/>
      <c r="D317" s="59"/>
      <c r="E317" s="59"/>
    </row>
    <row r="318" spans="2:5" x14ac:dyDescent="0.3">
      <c r="B318" s="65"/>
      <c r="C318" s="59"/>
      <c r="D318" s="59"/>
      <c r="E318" s="59"/>
    </row>
    <row r="319" spans="2:5" x14ac:dyDescent="0.3">
      <c r="B319" s="65"/>
      <c r="C319" s="59"/>
      <c r="D319" s="59"/>
      <c r="E319" s="59"/>
    </row>
    <row r="320" spans="2:5" x14ac:dyDescent="0.3">
      <c r="B320" s="65"/>
      <c r="C320" s="59"/>
      <c r="D320" s="59"/>
      <c r="E320" s="59"/>
    </row>
    <row r="321" spans="2:5" x14ac:dyDescent="0.3">
      <c r="B321" s="65"/>
      <c r="C321" s="59"/>
      <c r="D321" s="59"/>
      <c r="E321" s="59"/>
    </row>
    <row r="322" spans="2:5" x14ac:dyDescent="0.3">
      <c r="B322" s="65"/>
      <c r="C322" s="59"/>
      <c r="D322" s="59"/>
      <c r="E322" s="59"/>
    </row>
    <row r="323" spans="2:5" x14ac:dyDescent="0.3">
      <c r="B323" s="65"/>
      <c r="C323" s="59"/>
      <c r="D323" s="59"/>
      <c r="E323" s="59"/>
    </row>
    <row r="324" spans="2:5" x14ac:dyDescent="0.3">
      <c r="B324" s="65"/>
      <c r="C324" s="59"/>
      <c r="D324" s="59"/>
      <c r="E324" s="59"/>
    </row>
    <row r="325" spans="2:5" x14ac:dyDescent="0.3">
      <c r="B325" s="65"/>
      <c r="C325" s="59"/>
      <c r="D325" s="59"/>
      <c r="E325" s="59"/>
    </row>
    <row r="326" spans="2:5" x14ac:dyDescent="0.3">
      <c r="B326" s="65"/>
      <c r="C326" s="59"/>
      <c r="D326" s="59"/>
      <c r="E326" s="59"/>
    </row>
    <row r="327" spans="2:5" x14ac:dyDescent="0.3">
      <c r="B327" s="65"/>
      <c r="C327" s="59"/>
      <c r="D327" s="59"/>
      <c r="E327" s="59"/>
    </row>
    <row r="328" spans="2:5" x14ac:dyDescent="0.3">
      <c r="B328" s="65"/>
      <c r="C328" s="59"/>
      <c r="D328" s="59"/>
      <c r="E328" s="59"/>
    </row>
    <row r="329" spans="2:5" x14ac:dyDescent="0.3">
      <c r="B329" s="65"/>
      <c r="C329" s="59"/>
      <c r="D329" s="59"/>
      <c r="E329" s="59"/>
    </row>
    <row r="330" spans="2:5" x14ac:dyDescent="0.3">
      <c r="B330" s="65"/>
      <c r="C330" s="59"/>
      <c r="D330" s="59"/>
      <c r="E330" s="59"/>
    </row>
    <row r="331" spans="2:5" x14ac:dyDescent="0.3">
      <c r="B331" s="65"/>
      <c r="C331" s="59"/>
      <c r="D331" s="59"/>
      <c r="E331" s="59"/>
    </row>
    <row r="332" spans="2:5" x14ac:dyDescent="0.3">
      <c r="B332" s="65"/>
      <c r="C332" s="59"/>
      <c r="D332" s="59"/>
      <c r="E332" s="59"/>
    </row>
    <row r="333" spans="2:5" x14ac:dyDescent="0.3">
      <c r="B333" s="65"/>
      <c r="C333" s="59"/>
      <c r="D333" s="59"/>
      <c r="E333" s="59"/>
    </row>
    <row r="334" spans="2:5" x14ac:dyDescent="0.3">
      <c r="B334" s="65"/>
      <c r="C334" s="59"/>
      <c r="D334" s="59"/>
      <c r="E334" s="59"/>
    </row>
    <row r="335" spans="2:5" x14ac:dyDescent="0.3">
      <c r="B335" s="65"/>
      <c r="C335" s="59"/>
      <c r="D335" s="59"/>
      <c r="E335" s="59"/>
    </row>
    <row r="336" spans="2:5" x14ac:dyDescent="0.3">
      <c r="B336" s="65"/>
      <c r="C336" s="59"/>
      <c r="D336" s="59"/>
      <c r="E336" s="59"/>
    </row>
    <row r="337" spans="2:5" x14ac:dyDescent="0.3">
      <c r="B337" s="65"/>
      <c r="C337" s="59"/>
      <c r="D337" s="59"/>
      <c r="E337" s="59"/>
    </row>
    <row r="338" spans="2:5" x14ac:dyDescent="0.3">
      <c r="B338" s="65"/>
      <c r="C338" s="59"/>
      <c r="D338" s="59"/>
      <c r="E338" s="59"/>
    </row>
    <row r="339" spans="2:5" x14ac:dyDescent="0.3">
      <c r="B339" s="65"/>
      <c r="C339" s="59"/>
      <c r="D339" s="59"/>
      <c r="E339" s="59"/>
    </row>
    <row r="340" spans="2:5" x14ac:dyDescent="0.3">
      <c r="B340" s="65"/>
      <c r="C340" s="59"/>
      <c r="D340" s="59"/>
      <c r="E340" s="59"/>
    </row>
    <row r="341" spans="2:5" x14ac:dyDescent="0.3">
      <c r="B341" s="65"/>
      <c r="C341" s="59"/>
      <c r="D341" s="59"/>
      <c r="E341" s="59"/>
    </row>
    <row r="342" spans="2:5" x14ac:dyDescent="0.3">
      <c r="B342" s="65"/>
      <c r="C342" s="59"/>
      <c r="D342" s="59"/>
      <c r="E342" s="59"/>
    </row>
    <row r="343" spans="2:5" x14ac:dyDescent="0.3">
      <c r="B343" s="65"/>
      <c r="C343" s="59"/>
      <c r="D343" s="59"/>
      <c r="E343" s="59"/>
    </row>
    <row r="344" spans="2:5" x14ac:dyDescent="0.3">
      <c r="B344" s="65"/>
      <c r="C344" s="59"/>
      <c r="D344" s="59"/>
      <c r="E344" s="59"/>
    </row>
    <row r="345" spans="2:5" x14ac:dyDescent="0.3">
      <c r="B345" s="65"/>
      <c r="C345" s="59"/>
      <c r="D345" s="59"/>
      <c r="E345" s="59"/>
    </row>
    <row r="346" spans="2:5" x14ac:dyDescent="0.3">
      <c r="B346" s="65"/>
      <c r="C346" s="59"/>
      <c r="D346" s="59"/>
      <c r="E346" s="59"/>
    </row>
    <row r="347" spans="2:5" x14ac:dyDescent="0.3">
      <c r="B347" s="65"/>
      <c r="C347" s="59"/>
      <c r="D347" s="59"/>
      <c r="E347" s="59"/>
    </row>
    <row r="348" spans="2:5" x14ac:dyDescent="0.3">
      <c r="B348" s="65"/>
      <c r="C348" s="59"/>
      <c r="D348" s="59"/>
      <c r="E348" s="59"/>
    </row>
    <row r="349" spans="2:5" x14ac:dyDescent="0.3">
      <c r="B349" s="65"/>
      <c r="C349" s="59"/>
      <c r="D349" s="59"/>
      <c r="E349" s="59"/>
    </row>
    <row r="350" spans="2:5" x14ac:dyDescent="0.3">
      <c r="B350" s="65"/>
      <c r="C350" s="59"/>
      <c r="D350" s="59"/>
      <c r="E350" s="59"/>
    </row>
    <row r="351" spans="2:5" x14ac:dyDescent="0.3">
      <c r="B351" s="65"/>
      <c r="C351" s="59"/>
      <c r="D351" s="59"/>
      <c r="E351" s="59"/>
    </row>
    <row r="352" spans="2:5" x14ac:dyDescent="0.3">
      <c r="B352" s="65"/>
      <c r="C352" s="59"/>
      <c r="D352" s="59"/>
      <c r="E352" s="59"/>
    </row>
    <row r="353" spans="2:5" x14ac:dyDescent="0.3">
      <c r="B353" s="65"/>
      <c r="C353" s="59"/>
      <c r="D353" s="59"/>
      <c r="E353" s="59"/>
    </row>
    <row r="354" spans="2:5" x14ac:dyDescent="0.3">
      <c r="B354" s="65"/>
      <c r="C354" s="59"/>
      <c r="D354" s="59"/>
      <c r="E354" s="59"/>
    </row>
    <row r="355" spans="2:5" x14ac:dyDescent="0.3">
      <c r="B355" s="65"/>
      <c r="C355" s="59"/>
      <c r="D355" s="59"/>
      <c r="E355" s="59"/>
    </row>
    <row r="356" spans="2:5" x14ac:dyDescent="0.3">
      <c r="B356" s="65"/>
      <c r="C356" s="59"/>
      <c r="D356" s="59"/>
      <c r="E356" s="59"/>
    </row>
    <row r="357" spans="2:5" x14ac:dyDescent="0.3">
      <c r="B357" s="65"/>
      <c r="C357" s="59"/>
      <c r="D357" s="59"/>
      <c r="E357" s="59"/>
    </row>
    <row r="358" spans="2:5" x14ac:dyDescent="0.3">
      <c r="B358" s="65"/>
      <c r="C358" s="59"/>
      <c r="D358" s="59"/>
      <c r="E358" s="59"/>
    </row>
    <row r="359" spans="2:5" x14ac:dyDescent="0.3">
      <c r="B359" s="65"/>
      <c r="C359" s="59"/>
      <c r="D359" s="59"/>
      <c r="E359" s="59"/>
    </row>
    <row r="360" spans="2:5" x14ac:dyDescent="0.3">
      <c r="B360" s="65"/>
      <c r="C360" s="59"/>
      <c r="D360" s="59"/>
      <c r="E360" s="59"/>
    </row>
    <row r="361" spans="2:5" x14ac:dyDescent="0.3">
      <c r="B361" s="65"/>
      <c r="C361" s="59"/>
      <c r="D361" s="59"/>
      <c r="E361" s="59"/>
    </row>
    <row r="362" spans="2:5" x14ac:dyDescent="0.3">
      <c r="B362" s="65"/>
      <c r="C362" s="59"/>
      <c r="D362" s="59"/>
      <c r="E362" s="59"/>
    </row>
    <row r="363" spans="2:5" x14ac:dyDescent="0.3">
      <c r="B363" s="65"/>
      <c r="C363" s="59"/>
      <c r="D363" s="59"/>
      <c r="E363" s="59"/>
    </row>
    <row r="364" spans="2:5" x14ac:dyDescent="0.3">
      <c r="B364" s="65"/>
      <c r="C364" s="59"/>
      <c r="D364" s="59"/>
      <c r="E364" s="59"/>
    </row>
    <row r="365" spans="2:5" x14ac:dyDescent="0.3">
      <c r="B365" s="65"/>
      <c r="C365" s="59"/>
      <c r="D365" s="59"/>
      <c r="E365" s="59"/>
    </row>
    <row r="366" spans="2:5" x14ac:dyDescent="0.3">
      <c r="B366" s="65"/>
      <c r="C366" s="59"/>
      <c r="D366" s="59"/>
      <c r="E366" s="59"/>
    </row>
    <row r="367" spans="2:5" x14ac:dyDescent="0.3">
      <c r="B367" s="65"/>
      <c r="C367" s="59"/>
      <c r="D367" s="59"/>
      <c r="E367" s="59"/>
    </row>
    <row r="368" spans="2:5" x14ac:dyDescent="0.3">
      <c r="B368" s="65"/>
      <c r="C368" s="59"/>
      <c r="D368" s="59"/>
      <c r="E368" s="59"/>
    </row>
    <row r="369" spans="2:5" x14ac:dyDescent="0.3">
      <c r="B369" s="65"/>
      <c r="C369" s="59"/>
      <c r="D369" s="59"/>
      <c r="E369" s="59"/>
    </row>
    <row r="370" spans="2:5" x14ac:dyDescent="0.3">
      <c r="B370" s="65"/>
      <c r="C370" s="59"/>
      <c r="D370" s="59"/>
      <c r="E370" s="59"/>
    </row>
    <row r="371" spans="2:5" x14ac:dyDescent="0.3">
      <c r="B371" s="65"/>
      <c r="C371" s="59"/>
      <c r="D371" s="59"/>
      <c r="E371" s="59"/>
    </row>
    <row r="372" spans="2:5" x14ac:dyDescent="0.3">
      <c r="B372" s="65"/>
      <c r="C372" s="59"/>
      <c r="D372" s="59"/>
      <c r="E372" s="59"/>
    </row>
    <row r="373" spans="2:5" x14ac:dyDescent="0.3">
      <c r="B373" s="65"/>
      <c r="C373" s="59"/>
      <c r="D373" s="59"/>
      <c r="E373" s="59"/>
    </row>
    <row r="374" spans="2:5" x14ac:dyDescent="0.3">
      <c r="B374" s="65"/>
      <c r="C374" s="59"/>
      <c r="D374" s="59"/>
      <c r="E374" s="59"/>
    </row>
    <row r="375" spans="2:5" x14ac:dyDescent="0.3">
      <c r="B375" s="65"/>
      <c r="C375" s="59"/>
      <c r="D375" s="59"/>
      <c r="E375" s="59"/>
    </row>
    <row r="376" spans="2:5" x14ac:dyDescent="0.3">
      <c r="B376" s="65"/>
      <c r="C376" s="59"/>
      <c r="D376" s="59"/>
      <c r="E376" s="59"/>
    </row>
    <row r="377" spans="2:5" x14ac:dyDescent="0.3">
      <c r="B377" s="65"/>
      <c r="C377" s="59"/>
      <c r="D377" s="59"/>
      <c r="E377" s="59"/>
    </row>
    <row r="378" spans="2:5" x14ac:dyDescent="0.3">
      <c r="B378" s="65"/>
      <c r="C378" s="59"/>
      <c r="D378" s="59"/>
      <c r="E378" s="59"/>
    </row>
    <row r="379" spans="2:5" x14ac:dyDescent="0.3">
      <c r="B379" s="65"/>
      <c r="C379" s="59"/>
      <c r="D379" s="59"/>
      <c r="E379" s="59"/>
    </row>
    <row r="380" spans="2:5" x14ac:dyDescent="0.3">
      <c r="B380" s="65"/>
      <c r="C380" s="59"/>
      <c r="D380" s="59"/>
      <c r="E380" s="59"/>
    </row>
    <row r="381" spans="2:5" x14ac:dyDescent="0.3">
      <c r="B381" s="65"/>
      <c r="C381" s="59"/>
      <c r="D381" s="59"/>
      <c r="E381" s="59"/>
    </row>
    <row r="382" spans="2:5" x14ac:dyDescent="0.3">
      <c r="B382" s="65"/>
      <c r="C382" s="59"/>
      <c r="D382" s="59"/>
      <c r="E382" s="59"/>
    </row>
    <row r="383" spans="2:5" x14ac:dyDescent="0.3">
      <c r="B383" s="65"/>
      <c r="C383" s="59"/>
      <c r="D383" s="59"/>
      <c r="E383" s="59"/>
    </row>
    <row r="384" spans="2:5" x14ac:dyDescent="0.3">
      <c r="B384" s="65"/>
      <c r="C384" s="59"/>
      <c r="D384" s="59"/>
      <c r="E384" s="59"/>
    </row>
    <row r="385" spans="2:5" x14ac:dyDescent="0.3">
      <c r="B385" s="65"/>
      <c r="C385" s="59"/>
      <c r="D385" s="59"/>
      <c r="E385" s="59"/>
    </row>
    <row r="386" spans="2:5" x14ac:dyDescent="0.3">
      <c r="B386" s="65"/>
      <c r="C386" s="59"/>
      <c r="D386" s="59"/>
      <c r="E386" s="59"/>
    </row>
    <row r="387" spans="2:5" x14ac:dyDescent="0.3">
      <c r="B387" s="65"/>
      <c r="C387" s="59"/>
      <c r="D387" s="59"/>
      <c r="E387" s="59"/>
    </row>
    <row r="388" spans="2:5" x14ac:dyDescent="0.3">
      <c r="B388" s="65"/>
      <c r="C388" s="59"/>
      <c r="D388" s="59"/>
      <c r="E388" s="59"/>
    </row>
    <row r="389" spans="2:5" x14ac:dyDescent="0.3">
      <c r="B389" s="65"/>
      <c r="C389" s="59"/>
      <c r="D389" s="59"/>
      <c r="E389" s="59"/>
    </row>
    <row r="390" spans="2:5" x14ac:dyDescent="0.3">
      <c r="B390" s="65"/>
      <c r="C390" s="59"/>
      <c r="D390" s="59"/>
      <c r="E390" s="59"/>
    </row>
    <row r="391" spans="2:5" x14ac:dyDescent="0.3">
      <c r="B391" s="65"/>
      <c r="C391" s="59"/>
      <c r="D391" s="59"/>
      <c r="E391" s="59"/>
    </row>
    <row r="392" spans="2:5" x14ac:dyDescent="0.3">
      <c r="B392" s="65"/>
      <c r="C392" s="59"/>
      <c r="D392" s="59"/>
      <c r="E392" s="59"/>
    </row>
    <row r="393" spans="2:5" x14ac:dyDescent="0.3">
      <c r="B393" s="65"/>
      <c r="C393" s="59"/>
      <c r="D393" s="59"/>
      <c r="E393" s="59"/>
    </row>
    <row r="394" spans="2:5" x14ac:dyDescent="0.3">
      <c r="B394" s="65"/>
      <c r="C394" s="59"/>
      <c r="D394" s="59"/>
      <c r="E394" s="59"/>
    </row>
    <row r="395" spans="2:5" x14ac:dyDescent="0.3">
      <c r="B395" s="65"/>
      <c r="C395" s="59"/>
      <c r="D395" s="59"/>
      <c r="E395" s="59"/>
    </row>
    <row r="396" spans="2:5" x14ac:dyDescent="0.3">
      <c r="B396" s="65"/>
      <c r="C396" s="59"/>
      <c r="D396" s="59"/>
      <c r="E396" s="59"/>
    </row>
    <row r="397" spans="2:5" x14ac:dyDescent="0.3">
      <c r="B397" s="65"/>
      <c r="C397" s="59"/>
      <c r="D397" s="59"/>
      <c r="E397" s="59"/>
    </row>
    <row r="398" spans="2:5" x14ac:dyDescent="0.3">
      <c r="B398" s="65"/>
      <c r="C398" s="59"/>
      <c r="D398" s="59"/>
      <c r="E398" s="59"/>
    </row>
    <row r="399" spans="2:5" x14ac:dyDescent="0.3">
      <c r="B399" s="65"/>
      <c r="C399" s="59"/>
      <c r="D399" s="59"/>
      <c r="E399" s="59"/>
    </row>
    <row r="400" spans="2:5" x14ac:dyDescent="0.3">
      <c r="B400" s="65"/>
      <c r="C400" s="59"/>
      <c r="D400" s="59"/>
      <c r="E400" s="59"/>
    </row>
    <row r="401" spans="2:5" x14ac:dyDescent="0.3">
      <c r="B401" s="65"/>
      <c r="C401" s="59"/>
      <c r="D401" s="59"/>
      <c r="E401" s="59"/>
    </row>
    <row r="402" spans="2:5" x14ac:dyDescent="0.3">
      <c r="B402" s="65"/>
      <c r="C402" s="59"/>
      <c r="D402" s="59"/>
      <c r="E402" s="59"/>
    </row>
    <row r="403" spans="2:5" x14ac:dyDescent="0.3">
      <c r="B403" s="65"/>
      <c r="C403" s="59"/>
      <c r="D403" s="59"/>
      <c r="E403" s="59"/>
    </row>
    <row r="404" spans="2:5" x14ac:dyDescent="0.3">
      <c r="B404" s="65"/>
      <c r="C404" s="59"/>
      <c r="D404" s="59"/>
      <c r="E404" s="59"/>
    </row>
    <row r="405" spans="2:5" x14ac:dyDescent="0.3">
      <c r="B405" s="65"/>
      <c r="C405" s="59"/>
      <c r="D405" s="59"/>
      <c r="E405" s="59"/>
    </row>
    <row r="406" spans="2:5" x14ac:dyDescent="0.3">
      <c r="B406" s="65"/>
      <c r="C406" s="59"/>
      <c r="D406" s="59"/>
      <c r="E406" s="59"/>
    </row>
    <row r="407" spans="2:5" x14ac:dyDescent="0.3">
      <c r="B407" s="65"/>
      <c r="C407" s="59"/>
      <c r="D407" s="59"/>
      <c r="E407" s="59"/>
    </row>
    <row r="408" spans="2:5" x14ac:dyDescent="0.3">
      <c r="B408" s="65"/>
      <c r="C408" s="59"/>
      <c r="D408" s="59"/>
      <c r="E408" s="59"/>
    </row>
    <row r="409" spans="2:5" x14ac:dyDescent="0.3">
      <c r="B409" s="65"/>
      <c r="C409" s="59"/>
      <c r="D409" s="59"/>
      <c r="E409" s="59"/>
    </row>
    <row r="410" spans="2:5" x14ac:dyDescent="0.3">
      <c r="B410" s="65"/>
      <c r="C410" s="59"/>
      <c r="D410" s="59"/>
      <c r="E410" s="59"/>
    </row>
    <row r="411" spans="2:5" x14ac:dyDescent="0.3">
      <c r="B411" s="65"/>
      <c r="C411" s="59"/>
      <c r="D411" s="59"/>
      <c r="E411" s="59"/>
    </row>
    <row r="412" spans="2:5" x14ac:dyDescent="0.3">
      <c r="B412" s="65"/>
      <c r="C412" s="59"/>
      <c r="D412" s="59"/>
      <c r="E412" s="59"/>
    </row>
    <row r="413" spans="2:5" x14ac:dyDescent="0.3">
      <c r="B413" s="65"/>
      <c r="C413" s="59"/>
      <c r="D413" s="59"/>
      <c r="E413" s="59"/>
    </row>
    <row r="414" spans="2:5" x14ac:dyDescent="0.3">
      <c r="B414" s="65"/>
      <c r="C414" s="59"/>
      <c r="D414" s="59"/>
      <c r="E414" s="59"/>
    </row>
    <row r="415" spans="2:5" x14ac:dyDescent="0.3">
      <c r="B415" s="65"/>
      <c r="C415" s="59"/>
      <c r="D415" s="59"/>
      <c r="E415" s="59"/>
    </row>
    <row r="416" spans="2:5" x14ac:dyDescent="0.3">
      <c r="B416" s="65"/>
      <c r="C416" s="59"/>
      <c r="D416" s="59"/>
      <c r="E416" s="59"/>
    </row>
    <row r="417" spans="2:5" x14ac:dyDescent="0.3">
      <c r="B417" s="65"/>
      <c r="C417" s="59"/>
      <c r="D417" s="59"/>
      <c r="E417" s="59"/>
    </row>
    <row r="418" spans="2:5" x14ac:dyDescent="0.3">
      <c r="B418" s="65"/>
      <c r="C418" s="59"/>
      <c r="D418" s="59"/>
      <c r="E418" s="59"/>
    </row>
    <row r="419" spans="2:5" x14ac:dyDescent="0.3">
      <c r="B419" s="65"/>
      <c r="C419" s="59"/>
      <c r="D419" s="59"/>
      <c r="E419" s="59"/>
    </row>
    <row r="420" spans="2:5" x14ac:dyDescent="0.3">
      <c r="B420" s="65"/>
      <c r="C420" s="59"/>
      <c r="D420" s="59"/>
      <c r="E420" s="59"/>
    </row>
    <row r="421" spans="2:5" x14ac:dyDescent="0.3">
      <c r="B421" s="65"/>
      <c r="C421" s="59"/>
      <c r="D421" s="59"/>
      <c r="E421" s="59"/>
    </row>
    <row r="422" spans="2:5" x14ac:dyDescent="0.3">
      <c r="B422" s="65"/>
      <c r="C422" s="59"/>
      <c r="D422" s="59"/>
      <c r="E422" s="59"/>
    </row>
    <row r="423" spans="2:5" x14ac:dyDescent="0.3">
      <c r="B423" s="65"/>
      <c r="C423" s="59"/>
      <c r="D423" s="59"/>
      <c r="E423" s="59"/>
    </row>
    <row r="424" spans="2:5" x14ac:dyDescent="0.3">
      <c r="B424" s="65"/>
      <c r="C424" s="59"/>
      <c r="D424" s="59"/>
      <c r="E424" s="59"/>
    </row>
    <row r="425" spans="2:5" x14ac:dyDescent="0.3">
      <c r="B425" s="65"/>
      <c r="C425" s="59"/>
      <c r="D425" s="59"/>
      <c r="E425" s="59"/>
    </row>
    <row r="426" spans="2:5" x14ac:dyDescent="0.3">
      <c r="B426" s="65"/>
      <c r="C426" s="59"/>
      <c r="D426" s="59"/>
      <c r="E426" s="59"/>
    </row>
    <row r="427" spans="2:5" x14ac:dyDescent="0.3">
      <c r="B427" s="65"/>
      <c r="C427" s="59"/>
      <c r="D427" s="59"/>
      <c r="E427" s="59"/>
    </row>
    <row r="428" spans="2:5" x14ac:dyDescent="0.3">
      <c r="B428" s="65"/>
      <c r="C428" s="59"/>
      <c r="D428" s="59"/>
      <c r="E428" s="59"/>
    </row>
    <row r="429" spans="2:5" x14ac:dyDescent="0.3">
      <c r="B429" s="65"/>
      <c r="C429" s="59"/>
      <c r="D429" s="59"/>
      <c r="E429" s="59"/>
    </row>
    <row r="430" spans="2:5" x14ac:dyDescent="0.3">
      <c r="B430" s="65"/>
      <c r="C430" s="59"/>
      <c r="D430" s="59"/>
      <c r="E430" s="59"/>
    </row>
    <row r="431" spans="2:5" x14ac:dyDescent="0.3">
      <c r="B431" s="65"/>
      <c r="C431" s="59"/>
      <c r="D431" s="59"/>
      <c r="E431" s="59"/>
    </row>
    <row r="432" spans="2:5" x14ac:dyDescent="0.3">
      <c r="B432" s="65"/>
      <c r="C432" s="59"/>
      <c r="D432" s="59"/>
      <c r="E432" s="59"/>
    </row>
    <row r="433" spans="2:5" x14ac:dyDescent="0.3">
      <c r="B433" s="65"/>
      <c r="C433" s="59"/>
      <c r="D433" s="59"/>
      <c r="E433" s="59"/>
    </row>
    <row r="434" spans="2:5" x14ac:dyDescent="0.3">
      <c r="B434" s="65"/>
      <c r="C434" s="59"/>
      <c r="D434" s="59"/>
      <c r="E434" s="59"/>
    </row>
    <row r="435" spans="2:5" x14ac:dyDescent="0.3">
      <c r="B435" s="65"/>
      <c r="C435" s="59"/>
      <c r="D435" s="59"/>
      <c r="E435" s="59"/>
    </row>
    <row r="436" spans="2:5" x14ac:dyDescent="0.3">
      <c r="B436" s="65"/>
      <c r="C436" s="59"/>
      <c r="D436" s="59"/>
      <c r="E436" s="59"/>
    </row>
    <row r="437" spans="2:5" x14ac:dyDescent="0.3">
      <c r="B437" s="65"/>
      <c r="C437" s="59"/>
      <c r="D437" s="59"/>
      <c r="E437" s="59"/>
    </row>
    <row r="438" spans="2:5" x14ac:dyDescent="0.3">
      <c r="B438" s="65"/>
      <c r="C438" s="59"/>
      <c r="D438" s="59"/>
      <c r="E438" s="59"/>
    </row>
    <row r="439" spans="2:5" x14ac:dyDescent="0.3">
      <c r="B439" s="65"/>
      <c r="C439" s="59"/>
      <c r="D439" s="59"/>
      <c r="E439" s="59"/>
    </row>
    <row r="440" spans="2:5" x14ac:dyDescent="0.3">
      <c r="B440" s="65"/>
      <c r="C440" s="59"/>
      <c r="D440" s="59"/>
      <c r="E440" s="59"/>
    </row>
    <row r="441" spans="2:5" x14ac:dyDescent="0.3">
      <c r="B441" s="65"/>
      <c r="C441" s="59"/>
      <c r="D441" s="59"/>
      <c r="E441" s="59"/>
    </row>
    <row r="442" spans="2:5" x14ac:dyDescent="0.3">
      <c r="B442" s="65"/>
      <c r="C442" s="59"/>
      <c r="D442" s="59"/>
      <c r="E442" s="59"/>
    </row>
    <row r="443" spans="2:5" x14ac:dyDescent="0.3">
      <c r="B443" s="65"/>
      <c r="C443" s="59"/>
      <c r="D443" s="59"/>
      <c r="E443" s="59"/>
    </row>
    <row r="444" spans="2:5" x14ac:dyDescent="0.3">
      <c r="B444" s="65"/>
      <c r="C444" s="59"/>
      <c r="D444" s="59"/>
      <c r="E444" s="59"/>
    </row>
    <row r="445" spans="2:5" x14ac:dyDescent="0.3">
      <c r="B445" s="65"/>
      <c r="C445" s="59"/>
      <c r="D445" s="59"/>
      <c r="E445" s="59"/>
    </row>
    <row r="446" spans="2:5" x14ac:dyDescent="0.3">
      <c r="B446" s="65"/>
      <c r="C446" s="59"/>
      <c r="D446" s="59"/>
      <c r="E446" s="59"/>
    </row>
    <row r="447" spans="2:5" x14ac:dyDescent="0.3">
      <c r="B447" s="65"/>
      <c r="C447" s="59"/>
      <c r="D447" s="59"/>
      <c r="E447" s="59"/>
    </row>
    <row r="448" spans="2:5" x14ac:dyDescent="0.3">
      <c r="B448" s="65"/>
      <c r="C448" s="59"/>
      <c r="D448" s="59"/>
      <c r="E448" s="59"/>
    </row>
    <row r="449" spans="2:5" x14ac:dyDescent="0.3">
      <c r="B449" s="65"/>
      <c r="C449" s="59"/>
      <c r="D449" s="59"/>
      <c r="E449" s="59"/>
    </row>
    <row r="450" spans="2:5" x14ac:dyDescent="0.3">
      <c r="B450" s="65"/>
      <c r="C450" s="59"/>
      <c r="D450" s="59"/>
      <c r="E450" s="59"/>
    </row>
    <row r="451" spans="2:5" x14ac:dyDescent="0.3">
      <c r="B451" s="65"/>
      <c r="C451" s="59"/>
      <c r="D451" s="59"/>
      <c r="E451" s="59"/>
    </row>
    <row r="452" spans="2:5" x14ac:dyDescent="0.3">
      <c r="B452" s="65"/>
      <c r="C452" s="59"/>
      <c r="D452" s="59"/>
      <c r="E452" s="59"/>
    </row>
    <row r="453" spans="2:5" x14ac:dyDescent="0.3">
      <c r="B453" s="65"/>
      <c r="C453" s="59"/>
      <c r="D453" s="59"/>
      <c r="E453" s="59"/>
    </row>
    <row r="454" spans="2:5" x14ac:dyDescent="0.3">
      <c r="B454" s="65"/>
      <c r="C454" s="59"/>
      <c r="D454" s="59"/>
      <c r="E454" s="59"/>
    </row>
    <row r="455" spans="2:5" x14ac:dyDescent="0.3">
      <c r="B455" s="65"/>
      <c r="C455" s="59"/>
      <c r="D455" s="59"/>
      <c r="E455" s="59"/>
    </row>
    <row r="456" spans="2:5" x14ac:dyDescent="0.3">
      <c r="B456" s="65"/>
      <c r="C456" s="59"/>
      <c r="D456" s="59"/>
      <c r="E456" s="59"/>
    </row>
    <row r="457" spans="2:5" x14ac:dyDescent="0.3">
      <c r="B457" s="65"/>
      <c r="C457" s="59"/>
      <c r="D457" s="59"/>
      <c r="E457" s="59"/>
    </row>
    <row r="458" spans="2:5" x14ac:dyDescent="0.3">
      <c r="B458" s="65"/>
      <c r="C458" s="59"/>
      <c r="D458" s="59"/>
      <c r="E458" s="59"/>
    </row>
    <row r="459" spans="2:5" x14ac:dyDescent="0.3">
      <c r="B459" s="65"/>
      <c r="C459" s="59"/>
      <c r="D459" s="59"/>
      <c r="E459" s="59"/>
    </row>
    <row r="460" spans="2:5" x14ac:dyDescent="0.3">
      <c r="B460" s="65"/>
      <c r="C460" s="59"/>
      <c r="D460" s="59"/>
      <c r="E460" s="59"/>
    </row>
    <row r="461" spans="2:5" x14ac:dyDescent="0.3">
      <c r="B461" s="65"/>
      <c r="C461" s="59"/>
      <c r="D461" s="59"/>
      <c r="E461" s="59"/>
    </row>
    <row r="462" spans="2:5" x14ac:dyDescent="0.3">
      <c r="B462" s="65"/>
      <c r="C462" s="59"/>
      <c r="D462" s="59"/>
      <c r="E462" s="59"/>
    </row>
    <row r="463" spans="2:5" x14ac:dyDescent="0.3">
      <c r="B463" s="65"/>
      <c r="C463" s="59"/>
      <c r="D463" s="59"/>
      <c r="E463" s="59"/>
    </row>
    <row r="464" spans="2:5" x14ac:dyDescent="0.3">
      <c r="B464" s="65"/>
      <c r="C464" s="59"/>
      <c r="D464" s="59"/>
      <c r="E464" s="59"/>
    </row>
    <row r="465" spans="2:5" x14ac:dyDescent="0.3">
      <c r="B465" s="65"/>
      <c r="C465" s="59"/>
      <c r="D465" s="59"/>
      <c r="E465" s="59"/>
    </row>
    <row r="466" spans="2:5" x14ac:dyDescent="0.3">
      <c r="B466" s="65"/>
      <c r="C466" s="59"/>
      <c r="D466" s="59"/>
      <c r="E466" s="59"/>
    </row>
    <row r="467" spans="2:5" x14ac:dyDescent="0.3">
      <c r="B467" s="65"/>
      <c r="C467" s="59"/>
      <c r="D467" s="59"/>
      <c r="E467" s="59"/>
    </row>
    <row r="468" spans="2:5" x14ac:dyDescent="0.3">
      <c r="B468" s="65"/>
      <c r="C468" s="59"/>
      <c r="D468" s="59"/>
      <c r="E468" s="59"/>
    </row>
    <row r="469" spans="2:5" x14ac:dyDescent="0.3">
      <c r="B469" s="65"/>
      <c r="C469" s="59"/>
      <c r="D469" s="59"/>
      <c r="E469" s="59"/>
    </row>
    <row r="470" spans="2:5" x14ac:dyDescent="0.3">
      <c r="B470" s="65"/>
      <c r="C470" s="59"/>
      <c r="D470" s="59"/>
      <c r="E470" s="59"/>
    </row>
    <row r="471" spans="2:5" x14ac:dyDescent="0.3">
      <c r="B471" s="65"/>
      <c r="C471" s="59"/>
      <c r="D471" s="59"/>
      <c r="E471" s="59"/>
    </row>
    <row r="472" spans="2:5" x14ac:dyDescent="0.3">
      <c r="B472" s="65"/>
      <c r="C472" s="59"/>
      <c r="D472" s="59"/>
      <c r="E472" s="59"/>
    </row>
    <row r="473" spans="2:5" x14ac:dyDescent="0.3">
      <c r="B473" s="65"/>
      <c r="C473" s="59"/>
      <c r="D473" s="59"/>
      <c r="E473" s="59"/>
    </row>
    <row r="474" spans="2:5" x14ac:dyDescent="0.3">
      <c r="B474" s="65"/>
      <c r="C474" s="59"/>
      <c r="D474" s="59"/>
      <c r="E474" s="59"/>
    </row>
    <row r="475" spans="2:5" x14ac:dyDescent="0.3">
      <c r="B475" s="65"/>
      <c r="C475" s="59"/>
      <c r="D475" s="59"/>
      <c r="E475" s="59"/>
    </row>
    <row r="476" spans="2:5" x14ac:dyDescent="0.3">
      <c r="B476" s="65"/>
      <c r="C476" s="59"/>
      <c r="D476" s="59"/>
      <c r="E476" s="59"/>
    </row>
    <row r="477" spans="2:5" x14ac:dyDescent="0.3">
      <c r="B477" s="65"/>
      <c r="C477" s="59"/>
      <c r="D477" s="59"/>
      <c r="E477" s="59"/>
    </row>
    <row r="478" spans="2:5" x14ac:dyDescent="0.3">
      <c r="B478" s="65"/>
      <c r="C478" s="59"/>
      <c r="D478" s="59"/>
      <c r="E478" s="59"/>
    </row>
    <row r="479" spans="2:5" x14ac:dyDescent="0.3">
      <c r="B479" s="65"/>
      <c r="C479" s="59"/>
      <c r="D479" s="59"/>
      <c r="E479" s="59"/>
    </row>
    <row r="480" spans="2:5" x14ac:dyDescent="0.3">
      <c r="B480" s="65"/>
      <c r="C480" s="59"/>
      <c r="D480" s="59"/>
      <c r="E480" s="59"/>
    </row>
    <row r="481" spans="2:5" x14ac:dyDescent="0.3">
      <c r="B481" s="65"/>
      <c r="C481" s="59"/>
      <c r="D481" s="59"/>
      <c r="E481" s="59"/>
    </row>
    <row r="482" spans="2:5" x14ac:dyDescent="0.3">
      <c r="B482" s="65"/>
      <c r="C482" s="59"/>
      <c r="D482" s="59"/>
      <c r="E482" s="59"/>
    </row>
    <row r="483" spans="2:5" x14ac:dyDescent="0.3">
      <c r="B483" s="65"/>
      <c r="C483" s="59"/>
      <c r="D483" s="59"/>
      <c r="E483" s="59"/>
    </row>
    <row r="484" spans="2:5" x14ac:dyDescent="0.3">
      <c r="B484" s="65"/>
      <c r="C484" s="59"/>
      <c r="D484" s="59"/>
      <c r="E484" s="59"/>
    </row>
    <row r="485" spans="2:5" x14ac:dyDescent="0.3">
      <c r="B485" s="65"/>
      <c r="C485" s="59"/>
      <c r="D485" s="59"/>
      <c r="E485" s="59"/>
    </row>
    <row r="486" spans="2:5" x14ac:dyDescent="0.3">
      <c r="B486" s="65"/>
      <c r="C486" s="59"/>
      <c r="D486" s="59"/>
      <c r="E486" s="59"/>
    </row>
    <row r="487" spans="2:5" x14ac:dyDescent="0.3">
      <c r="B487" s="65"/>
      <c r="C487" s="59"/>
      <c r="D487" s="59"/>
      <c r="E487" s="59"/>
    </row>
    <row r="488" spans="2:5" x14ac:dyDescent="0.3">
      <c r="B488" s="65"/>
      <c r="C488" s="59"/>
      <c r="D488" s="59"/>
      <c r="E488" s="59"/>
    </row>
    <row r="489" spans="2:5" x14ac:dyDescent="0.3">
      <c r="B489" s="65"/>
      <c r="C489" s="59"/>
      <c r="D489" s="59"/>
      <c r="E489" s="59"/>
    </row>
    <row r="490" spans="2:5" x14ac:dyDescent="0.3">
      <c r="B490" s="65"/>
      <c r="C490" s="59"/>
      <c r="D490" s="59"/>
      <c r="E490" s="59"/>
    </row>
    <row r="491" spans="2:5" x14ac:dyDescent="0.3">
      <c r="B491" s="65"/>
      <c r="C491" s="59"/>
      <c r="D491" s="59"/>
      <c r="E491" s="59"/>
    </row>
    <row r="492" spans="2:5" x14ac:dyDescent="0.3">
      <c r="B492" s="65"/>
      <c r="C492" s="59"/>
      <c r="D492" s="59"/>
      <c r="E492" s="59"/>
    </row>
  </sheetData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aste_OneCell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236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2:AY48"/>
  <sheetViews>
    <sheetView zoomScale="80" zoomScaleNormal="80" workbookViewId="0">
      <selection activeCell="E56" sqref="E56"/>
    </sheetView>
  </sheetViews>
  <sheetFormatPr defaultColWidth="11.42578125" defaultRowHeight="15" x14ac:dyDescent="0.3"/>
  <cols>
    <col min="1" max="1" width="10.42578125" style="31" customWidth="1"/>
    <col min="2" max="2" width="50.5703125" customWidth="1"/>
    <col min="3" max="3" width="15.42578125" style="105" customWidth="1"/>
    <col min="5" max="5" width="14.140625" style="31" bestFit="1" customWidth="1"/>
    <col min="6" max="6" width="51.5703125" style="31" bestFit="1" customWidth="1"/>
    <col min="7" max="7" width="15.42578125" style="105" customWidth="1"/>
    <col min="9" max="9" width="14" style="31" bestFit="1" customWidth="1"/>
    <col min="10" max="10" width="52" customWidth="1"/>
    <col min="11" max="11" width="15.42578125" style="106" customWidth="1"/>
    <col min="13" max="13" width="12.5703125" style="31" customWidth="1"/>
    <col min="14" max="14" width="15.140625" customWidth="1"/>
    <col min="15" max="15" width="15.42578125" style="105" customWidth="1"/>
    <col min="17" max="17" width="10.42578125" style="31" customWidth="1"/>
    <col min="18" max="18" width="23.85546875" bestFit="1" customWidth="1"/>
    <col min="19" max="19" width="15.42578125" style="105" customWidth="1"/>
    <col min="21" max="21" width="10.42578125" style="31" customWidth="1"/>
    <col min="22" max="22" width="67" bestFit="1" customWidth="1"/>
    <col min="23" max="23" width="15.42578125" style="107" customWidth="1"/>
    <col min="25" max="25" width="15.7109375" style="31" bestFit="1" customWidth="1"/>
    <col min="26" max="26" width="48.5703125" bestFit="1" customWidth="1"/>
    <col min="27" max="27" width="15.42578125" style="106" customWidth="1"/>
    <col min="29" max="29" width="11.42578125" style="31" customWidth="1"/>
    <col min="30" max="30" width="15.140625" customWidth="1"/>
    <col min="31" max="31" width="15.42578125" customWidth="1"/>
    <col min="33" max="33" width="15.140625" bestFit="1" customWidth="1"/>
    <col min="34" max="34" width="38.140625" bestFit="1" customWidth="1"/>
    <col min="35" max="35" width="15.42578125" style="108" customWidth="1"/>
    <col min="38" max="38" width="36" customWidth="1"/>
    <col min="39" max="39" width="15.42578125" customWidth="1"/>
    <col min="42" max="42" width="38.5703125" customWidth="1"/>
    <col min="43" max="43" width="15.42578125" customWidth="1"/>
    <col min="46" max="46" width="15.140625" customWidth="1"/>
    <col min="47" max="47" width="15.42578125" customWidth="1"/>
  </cols>
  <sheetData>
    <row r="2" spans="1:51" ht="15.75" customHeight="1" thickBot="1" x14ac:dyDescent="0.35"/>
    <row r="3" spans="1:51" ht="15" customHeight="1" x14ac:dyDescent="0.3">
      <c r="A3" s="204" t="s">
        <v>286</v>
      </c>
      <c r="B3" s="205"/>
      <c r="C3" s="206"/>
      <c r="E3" s="204" t="s">
        <v>156</v>
      </c>
      <c r="F3" s="205"/>
      <c r="G3" s="206"/>
      <c r="I3" s="204" t="s">
        <v>176</v>
      </c>
      <c r="J3" s="205"/>
      <c r="K3" s="206"/>
      <c r="M3" s="204" t="s">
        <v>181</v>
      </c>
      <c r="N3" s="205"/>
      <c r="O3" s="206"/>
      <c r="Q3" s="204" t="s">
        <v>184</v>
      </c>
      <c r="R3" s="205"/>
      <c r="S3" s="206"/>
      <c r="U3" s="204" t="s">
        <v>231</v>
      </c>
      <c r="V3" s="205"/>
      <c r="W3" s="206"/>
      <c r="Y3" s="204" t="s">
        <v>189</v>
      </c>
      <c r="Z3" s="205"/>
      <c r="AA3" s="206"/>
      <c r="AC3" s="204" t="s">
        <v>226</v>
      </c>
      <c r="AD3" s="205"/>
      <c r="AE3" s="206"/>
      <c r="AG3" s="210" t="s">
        <v>242</v>
      </c>
      <c r="AH3" s="205"/>
      <c r="AI3" s="206"/>
      <c r="AK3" s="210" t="s">
        <v>245</v>
      </c>
      <c r="AL3" s="205"/>
      <c r="AM3" s="206"/>
      <c r="AO3" s="204" t="s">
        <v>254</v>
      </c>
      <c r="AP3" s="205"/>
      <c r="AQ3" s="206"/>
      <c r="AS3" s="204" t="s">
        <v>261</v>
      </c>
      <c r="AT3" s="205"/>
      <c r="AU3" s="206"/>
      <c r="AW3" s="204" t="s">
        <v>270</v>
      </c>
      <c r="AX3" s="205"/>
      <c r="AY3" s="206"/>
    </row>
    <row r="4" spans="1:51" ht="15.75" customHeight="1" thickBot="1" x14ac:dyDescent="0.35">
      <c r="A4" s="207"/>
      <c r="B4" s="208"/>
      <c r="C4" s="209"/>
      <c r="E4" s="207"/>
      <c r="F4" s="208"/>
      <c r="G4" s="209"/>
      <c r="I4" s="207"/>
      <c r="J4" s="208"/>
      <c r="K4" s="209"/>
      <c r="M4" s="207"/>
      <c r="N4" s="208"/>
      <c r="O4" s="209"/>
      <c r="Q4" s="207"/>
      <c r="R4" s="208"/>
      <c r="S4" s="209"/>
      <c r="U4" s="207"/>
      <c r="V4" s="208"/>
      <c r="W4" s="209"/>
      <c r="Y4" s="207"/>
      <c r="Z4" s="208"/>
      <c r="AA4" s="209"/>
      <c r="AC4" s="207"/>
      <c r="AD4" s="208"/>
      <c r="AE4" s="209"/>
      <c r="AG4" s="211"/>
      <c r="AH4" s="144"/>
      <c r="AI4" s="212"/>
      <c r="AK4" s="211"/>
      <c r="AL4" s="144"/>
      <c r="AM4" s="212"/>
      <c r="AO4" s="207"/>
      <c r="AP4" s="208"/>
      <c r="AQ4" s="209"/>
      <c r="AS4" s="207"/>
      <c r="AT4" s="208"/>
      <c r="AU4" s="209"/>
      <c r="AW4" s="207"/>
      <c r="AX4" s="208"/>
      <c r="AY4" s="209"/>
    </row>
    <row r="5" spans="1:51" ht="15.75" customHeight="1" thickBot="1" x14ac:dyDescent="0.35">
      <c r="A5" s="49" t="s">
        <v>75</v>
      </c>
      <c r="B5" s="40" t="s">
        <v>16</v>
      </c>
      <c r="C5" s="109" t="s">
        <v>76</v>
      </c>
      <c r="E5" s="42" t="s">
        <v>75</v>
      </c>
      <c r="F5" s="43" t="s">
        <v>16</v>
      </c>
      <c r="G5" s="110" t="s">
        <v>76</v>
      </c>
      <c r="I5" s="42" t="s">
        <v>75</v>
      </c>
      <c r="J5" s="43" t="s">
        <v>16</v>
      </c>
      <c r="K5" s="111" t="s">
        <v>76</v>
      </c>
      <c r="M5" s="36" t="s">
        <v>287</v>
      </c>
      <c r="N5" s="37" t="s">
        <v>288</v>
      </c>
      <c r="O5" s="112" t="s">
        <v>289</v>
      </c>
      <c r="Q5" s="42" t="s">
        <v>75</v>
      </c>
      <c r="R5" s="43" t="s">
        <v>16</v>
      </c>
      <c r="S5" s="110" t="s">
        <v>76</v>
      </c>
      <c r="U5" s="42" t="s">
        <v>75</v>
      </c>
      <c r="V5" s="43" t="s">
        <v>16</v>
      </c>
      <c r="W5" s="113" t="s">
        <v>76</v>
      </c>
      <c r="Y5" s="42" t="s">
        <v>75</v>
      </c>
      <c r="Z5" s="43" t="s">
        <v>16</v>
      </c>
      <c r="AA5" s="111" t="s">
        <v>76</v>
      </c>
      <c r="AC5" s="42" t="s">
        <v>75</v>
      </c>
      <c r="AD5" s="43" t="s">
        <v>16</v>
      </c>
      <c r="AE5" s="110" t="s">
        <v>76</v>
      </c>
      <c r="AG5" s="60" t="s">
        <v>75</v>
      </c>
      <c r="AH5" s="61" t="s">
        <v>16</v>
      </c>
      <c r="AI5" s="61" t="s">
        <v>76</v>
      </c>
      <c r="AK5" s="42" t="s">
        <v>75</v>
      </c>
      <c r="AL5" s="43" t="s">
        <v>16</v>
      </c>
      <c r="AM5" s="110" t="s">
        <v>76</v>
      </c>
      <c r="AO5" s="76" t="s">
        <v>75</v>
      </c>
      <c r="AP5" s="77" t="s">
        <v>16</v>
      </c>
      <c r="AQ5" s="78" t="s">
        <v>76</v>
      </c>
      <c r="AS5" s="76" t="s">
        <v>75</v>
      </c>
      <c r="AT5" s="77" t="s">
        <v>16</v>
      </c>
      <c r="AU5" s="78" t="s">
        <v>76</v>
      </c>
      <c r="AW5" s="76" t="s">
        <v>75</v>
      </c>
      <c r="AX5" s="77" t="s">
        <v>16</v>
      </c>
      <c r="AY5" s="78" t="s">
        <v>76</v>
      </c>
    </row>
    <row r="6" spans="1:51" ht="15.75" customHeight="1" thickBot="1" x14ac:dyDescent="0.35">
      <c r="A6" s="50">
        <v>500448</v>
      </c>
      <c r="B6" s="32" t="s">
        <v>79</v>
      </c>
      <c r="C6" s="114">
        <v>25440</v>
      </c>
      <c r="E6" s="38" t="s">
        <v>154</v>
      </c>
      <c r="F6" s="38" t="s">
        <v>155</v>
      </c>
      <c r="G6" s="115">
        <v>2580</v>
      </c>
      <c r="I6" s="38" t="s">
        <v>174</v>
      </c>
      <c r="J6" s="39" t="s">
        <v>175</v>
      </c>
      <c r="K6" s="116">
        <v>4605.3333000000002</v>
      </c>
      <c r="M6" s="45" t="s">
        <v>75</v>
      </c>
      <c r="N6" s="46" t="s">
        <v>16</v>
      </c>
      <c r="O6" s="117" t="s">
        <v>76</v>
      </c>
      <c r="Q6" s="53" t="s">
        <v>182</v>
      </c>
      <c r="R6" s="39" t="s">
        <v>183</v>
      </c>
      <c r="S6" s="115">
        <v>72500</v>
      </c>
      <c r="U6" s="38">
        <v>200102</v>
      </c>
      <c r="V6" s="39" t="s">
        <v>230</v>
      </c>
      <c r="W6" s="118">
        <v>2947.8</v>
      </c>
      <c r="Y6" s="38" t="s">
        <v>187</v>
      </c>
      <c r="Z6" s="39" t="s">
        <v>188</v>
      </c>
      <c r="AA6" s="116">
        <v>31050</v>
      </c>
      <c r="AC6" s="38" t="s">
        <v>224</v>
      </c>
      <c r="AD6" s="38" t="s">
        <v>225</v>
      </c>
      <c r="AE6" s="115">
        <v>62</v>
      </c>
      <c r="AG6" s="62" t="s">
        <v>240</v>
      </c>
      <c r="AH6" s="63" t="s">
        <v>241</v>
      </c>
      <c r="AI6" s="119">
        <v>2832</v>
      </c>
      <c r="AK6" s="38" t="s">
        <v>243</v>
      </c>
      <c r="AL6" s="38" t="s">
        <v>244</v>
      </c>
      <c r="AM6" s="115">
        <v>4724</v>
      </c>
      <c r="AO6" s="74" t="s">
        <v>252</v>
      </c>
      <c r="AP6" s="73" t="s">
        <v>253</v>
      </c>
      <c r="AQ6" s="120">
        <v>8350</v>
      </c>
      <c r="AS6" s="74" t="s">
        <v>259</v>
      </c>
      <c r="AT6" s="73" t="s">
        <v>260</v>
      </c>
      <c r="AU6" s="120">
        <v>1730</v>
      </c>
      <c r="AW6" s="74" t="s">
        <v>268</v>
      </c>
      <c r="AX6" t="s">
        <v>269</v>
      </c>
      <c r="AY6">
        <v>9030</v>
      </c>
    </row>
    <row r="7" spans="1:51" ht="15.75" customHeight="1" thickBot="1" x14ac:dyDescent="0.35">
      <c r="A7" s="51" t="s">
        <v>81</v>
      </c>
      <c r="B7" s="33" t="s">
        <v>82</v>
      </c>
      <c r="C7" s="121">
        <v>29325</v>
      </c>
      <c r="E7" s="41" t="s">
        <v>157</v>
      </c>
      <c r="F7" s="41" t="s">
        <v>158</v>
      </c>
      <c r="G7" s="122">
        <v>3490</v>
      </c>
      <c r="H7" t="s">
        <v>290</v>
      </c>
      <c r="I7" s="41" t="s">
        <v>177</v>
      </c>
      <c r="J7" s="41" t="s">
        <v>178</v>
      </c>
      <c r="K7" s="123">
        <v>3418</v>
      </c>
      <c r="M7" s="35"/>
      <c r="N7" s="47"/>
      <c r="O7" s="124"/>
      <c r="Q7" s="54" t="s">
        <v>185</v>
      </c>
      <c r="R7" s="48" t="s">
        <v>186</v>
      </c>
      <c r="S7" s="122">
        <v>78500</v>
      </c>
      <c r="U7" s="41">
        <v>255646</v>
      </c>
      <c r="V7" s="48" t="s">
        <v>233</v>
      </c>
      <c r="W7" s="125">
        <v>28560</v>
      </c>
      <c r="Y7" s="41" t="s">
        <v>190</v>
      </c>
      <c r="Z7" s="48" t="s">
        <v>191</v>
      </c>
      <c r="AA7" s="123">
        <v>31050</v>
      </c>
      <c r="AC7" s="41" t="s">
        <v>227</v>
      </c>
      <c r="AD7" s="41" t="s">
        <v>228</v>
      </c>
      <c r="AE7" s="122">
        <v>3060</v>
      </c>
      <c r="AK7" s="38" t="s">
        <v>246</v>
      </c>
      <c r="AL7" s="38" t="s">
        <v>247</v>
      </c>
      <c r="AM7" s="115">
        <v>5899</v>
      </c>
      <c r="AO7" s="75" t="s">
        <v>255</v>
      </c>
      <c r="AP7" s="33" t="s">
        <v>256</v>
      </c>
      <c r="AQ7" s="126">
        <v>1755</v>
      </c>
      <c r="AS7" s="74" t="s">
        <v>262</v>
      </c>
      <c r="AT7" s="33" t="s">
        <v>263</v>
      </c>
      <c r="AU7" s="126">
        <v>907</v>
      </c>
      <c r="AW7" s="74" t="s">
        <v>271</v>
      </c>
      <c r="AX7" t="s">
        <v>272</v>
      </c>
      <c r="AY7">
        <v>3218</v>
      </c>
    </row>
    <row r="8" spans="1:51" ht="15.75" customHeight="1" thickBot="1" x14ac:dyDescent="0.35">
      <c r="A8" s="52">
        <v>521601</v>
      </c>
      <c r="B8" s="34" t="s">
        <v>84</v>
      </c>
      <c r="C8" s="127">
        <v>20825</v>
      </c>
      <c r="E8" s="31" t="s">
        <v>159</v>
      </c>
      <c r="F8" s="31" t="s">
        <v>160</v>
      </c>
      <c r="G8" s="105">
        <v>5800</v>
      </c>
      <c r="I8" s="55" t="s">
        <v>179</v>
      </c>
      <c r="J8" s="44" t="s">
        <v>180</v>
      </c>
      <c r="K8" s="128">
        <v>3388.3332999999998</v>
      </c>
      <c r="U8" s="55">
        <v>197075</v>
      </c>
      <c r="V8" s="44"/>
      <c r="W8" s="129"/>
      <c r="Y8" s="55" t="s">
        <v>192</v>
      </c>
      <c r="Z8" s="44" t="s">
        <v>193</v>
      </c>
      <c r="AA8" s="128">
        <v>37000</v>
      </c>
      <c r="AK8" s="38" t="s">
        <v>248</v>
      </c>
      <c r="AL8" s="38" t="s">
        <v>249</v>
      </c>
      <c r="AM8" s="115">
        <v>7085</v>
      </c>
      <c r="AO8" s="74" t="s">
        <v>257</v>
      </c>
      <c r="AP8" s="73" t="s">
        <v>258</v>
      </c>
      <c r="AQ8" s="120">
        <v>23920</v>
      </c>
      <c r="AS8" s="74" t="s">
        <v>264</v>
      </c>
      <c r="AT8" s="73" t="s">
        <v>265</v>
      </c>
      <c r="AU8" s="120">
        <v>7961</v>
      </c>
      <c r="AW8" s="74" t="s">
        <v>273</v>
      </c>
      <c r="AX8" t="s">
        <v>274</v>
      </c>
      <c r="AY8">
        <v>3120</v>
      </c>
    </row>
    <row r="9" spans="1:51" x14ac:dyDescent="0.3">
      <c r="A9" s="51">
        <v>500423</v>
      </c>
      <c r="B9" s="33" t="s">
        <v>86</v>
      </c>
      <c r="C9" s="121">
        <v>36510</v>
      </c>
      <c r="E9" s="31" t="s">
        <v>161</v>
      </c>
      <c r="F9" s="31" t="s">
        <v>162</v>
      </c>
      <c r="G9" s="105">
        <v>3890</v>
      </c>
      <c r="U9" s="41">
        <v>255646</v>
      </c>
      <c r="V9" s="48" t="s">
        <v>235</v>
      </c>
      <c r="W9" s="125">
        <v>33600</v>
      </c>
      <c r="Y9" s="41">
        <v>2415502</v>
      </c>
      <c r="Z9" s="48" t="s">
        <v>195</v>
      </c>
      <c r="AA9" s="123">
        <v>3200</v>
      </c>
      <c r="AK9" s="38" t="s">
        <v>250</v>
      </c>
      <c r="AL9" s="38" t="s">
        <v>251</v>
      </c>
      <c r="AM9" s="115">
        <v>4295</v>
      </c>
      <c r="AS9" s="74" t="s">
        <v>266</v>
      </c>
      <c r="AT9" t="s">
        <v>267</v>
      </c>
      <c r="AU9">
        <v>9798</v>
      </c>
      <c r="AW9" s="74" t="s">
        <v>275</v>
      </c>
      <c r="AX9" t="s">
        <v>276</v>
      </c>
      <c r="AY9">
        <v>5355</v>
      </c>
    </row>
    <row r="10" spans="1:51" x14ac:dyDescent="0.3">
      <c r="A10" s="52">
        <v>515812</v>
      </c>
      <c r="B10" s="34" t="s">
        <v>88</v>
      </c>
      <c r="C10" s="127">
        <v>8510</v>
      </c>
      <c r="E10" s="31" t="s">
        <v>163</v>
      </c>
      <c r="F10" s="31" t="s">
        <v>164</v>
      </c>
      <c r="G10" s="105">
        <v>499</v>
      </c>
      <c r="U10" s="55">
        <v>197075</v>
      </c>
      <c r="V10" s="44" t="s">
        <v>236</v>
      </c>
      <c r="W10" s="129">
        <v>28732</v>
      </c>
      <c r="Y10" s="55" t="s">
        <v>196</v>
      </c>
      <c r="Z10" s="44" t="s">
        <v>197</v>
      </c>
      <c r="AA10" s="128">
        <v>1500</v>
      </c>
      <c r="AW10" s="74" t="s">
        <v>277</v>
      </c>
      <c r="AX10" t="s">
        <v>278</v>
      </c>
      <c r="AY10">
        <v>3840</v>
      </c>
    </row>
    <row r="11" spans="1:51" x14ac:dyDescent="0.3">
      <c r="A11" s="51">
        <v>511923</v>
      </c>
      <c r="B11" s="33" t="s">
        <v>90</v>
      </c>
      <c r="C11" s="121">
        <v>47250</v>
      </c>
      <c r="E11" s="31" t="s">
        <v>165</v>
      </c>
      <c r="F11" s="31" t="s">
        <v>166</v>
      </c>
      <c r="G11" s="105">
        <v>1290</v>
      </c>
      <c r="U11" s="41">
        <v>200102</v>
      </c>
      <c r="V11" s="48" t="s">
        <v>237</v>
      </c>
      <c r="W11" s="125">
        <v>3468</v>
      </c>
      <c r="Y11" s="41">
        <v>80040001</v>
      </c>
      <c r="Z11" s="48" t="s">
        <v>199</v>
      </c>
      <c r="AA11" s="123">
        <v>1450</v>
      </c>
      <c r="AW11" s="74" t="s">
        <v>279</v>
      </c>
      <c r="AX11" t="s">
        <v>280</v>
      </c>
      <c r="AY11">
        <v>9200</v>
      </c>
    </row>
    <row r="12" spans="1:51" ht="15.75" customHeight="1" x14ac:dyDescent="0.3">
      <c r="A12" s="52">
        <v>501364</v>
      </c>
      <c r="B12" s="34" t="s">
        <v>92</v>
      </c>
      <c r="C12" s="127">
        <v>600</v>
      </c>
      <c r="E12" s="31" t="s">
        <v>167</v>
      </c>
      <c r="F12" s="31" t="s">
        <v>168</v>
      </c>
      <c r="G12" s="105">
        <v>13800</v>
      </c>
      <c r="U12" s="41" t="s">
        <v>238</v>
      </c>
      <c r="V12" s="85" t="s">
        <v>239</v>
      </c>
      <c r="W12" s="125">
        <v>26418</v>
      </c>
      <c r="Y12" s="55" t="s">
        <v>200</v>
      </c>
      <c r="Z12" s="44" t="s">
        <v>201</v>
      </c>
      <c r="AA12" s="128">
        <v>56000</v>
      </c>
      <c r="AW12" s="74" t="s">
        <v>281</v>
      </c>
      <c r="AX12" t="s">
        <v>282</v>
      </c>
      <c r="AY12">
        <v>9128</v>
      </c>
    </row>
    <row r="13" spans="1:51" x14ac:dyDescent="0.3">
      <c r="A13" s="51">
        <v>506687</v>
      </c>
      <c r="B13" s="33" t="s">
        <v>64</v>
      </c>
      <c r="C13" s="121">
        <v>11650</v>
      </c>
      <c r="E13" s="31" t="s">
        <v>169</v>
      </c>
      <c r="F13" s="31" t="s">
        <v>170</v>
      </c>
      <c r="G13" s="105">
        <v>3490</v>
      </c>
      <c r="Y13" s="41" t="s">
        <v>202</v>
      </c>
      <c r="Z13" s="48" t="s">
        <v>203</v>
      </c>
      <c r="AA13" s="123">
        <v>2200</v>
      </c>
      <c r="AW13" s="74" t="s">
        <v>283</v>
      </c>
      <c r="AX13" t="s">
        <v>284</v>
      </c>
      <c r="AY13">
        <v>2052</v>
      </c>
    </row>
    <row r="14" spans="1:51" x14ac:dyDescent="0.3">
      <c r="A14" s="52">
        <v>510704</v>
      </c>
      <c r="B14" s="34" t="s">
        <v>95</v>
      </c>
      <c r="C14" s="127">
        <v>6825</v>
      </c>
      <c r="F14" s="31" t="s">
        <v>171</v>
      </c>
      <c r="G14" s="105">
        <v>590</v>
      </c>
      <c r="Y14" s="55">
        <v>6100210</v>
      </c>
      <c r="Z14" s="44" t="s">
        <v>205</v>
      </c>
      <c r="AA14" s="128">
        <v>125</v>
      </c>
      <c r="AW14" s="74" t="s">
        <v>285</v>
      </c>
    </row>
    <row r="15" spans="1:51" x14ac:dyDescent="0.3">
      <c r="A15" s="51">
        <v>510706</v>
      </c>
      <c r="B15" s="33" t="s">
        <v>97</v>
      </c>
      <c r="C15" s="121">
        <v>10195</v>
      </c>
      <c r="E15" s="31" t="s">
        <v>172</v>
      </c>
      <c r="F15" s="31" t="s">
        <v>173</v>
      </c>
      <c r="G15" s="105">
        <v>1120</v>
      </c>
      <c r="Y15" s="41" t="s">
        <v>206</v>
      </c>
      <c r="Z15" s="48" t="s">
        <v>207</v>
      </c>
      <c r="AA15" s="123">
        <v>800</v>
      </c>
    </row>
    <row r="16" spans="1:51" x14ac:dyDescent="0.3">
      <c r="A16" s="52">
        <v>514393</v>
      </c>
      <c r="B16" s="34" t="s">
        <v>59</v>
      </c>
      <c r="C16" s="127">
        <v>19365</v>
      </c>
      <c r="Y16" s="55" t="s">
        <v>208</v>
      </c>
      <c r="Z16" s="44" t="s">
        <v>209</v>
      </c>
      <c r="AA16" s="128">
        <v>14000</v>
      </c>
    </row>
    <row r="17" spans="1:27" x14ac:dyDescent="0.3">
      <c r="A17" s="51">
        <v>514394</v>
      </c>
      <c r="B17" s="33" t="s">
        <v>100</v>
      </c>
      <c r="C17" s="121">
        <v>12995</v>
      </c>
      <c r="Y17" s="41" t="s">
        <v>210</v>
      </c>
      <c r="Z17" s="48" t="s">
        <v>211</v>
      </c>
      <c r="AA17" s="123">
        <v>25500</v>
      </c>
    </row>
    <row r="18" spans="1:27" x14ac:dyDescent="0.3">
      <c r="A18" s="52">
        <v>508118</v>
      </c>
      <c r="B18" s="34" t="s">
        <v>102</v>
      </c>
      <c r="C18" s="127">
        <v>790</v>
      </c>
      <c r="Y18" s="55" t="s">
        <v>212</v>
      </c>
      <c r="Z18" s="44" t="s">
        <v>213</v>
      </c>
      <c r="AA18" s="128">
        <v>7500</v>
      </c>
    </row>
    <row r="19" spans="1:27" x14ac:dyDescent="0.3">
      <c r="A19" s="51">
        <v>505212</v>
      </c>
      <c r="B19" s="33" t="s">
        <v>69</v>
      </c>
      <c r="C19" s="121">
        <v>4045</v>
      </c>
      <c r="Y19" s="41" t="s">
        <v>214</v>
      </c>
      <c r="Z19" s="48" t="s">
        <v>215</v>
      </c>
      <c r="AA19" s="123">
        <v>1500</v>
      </c>
    </row>
    <row r="20" spans="1:27" x14ac:dyDescent="0.3">
      <c r="A20" s="52">
        <v>513631</v>
      </c>
      <c r="B20" s="34" t="s">
        <v>61</v>
      </c>
      <c r="C20" s="127">
        <v>9165</v>
      </c>
      <c r="Y20" s="55">
        <v>10701311</v>
      </c>
      <c r="Z20" s="44" t="s">
        <v>217</v>
      </c>
      <c r="AA20" s="128">
        <v>1800</v>
      </c>
    </row>
    <row r="21" spans="1:27" x14ac:dyDescent="0.3">
      <c r="A21" s="51">
        <v>513627</v>
      </c>
      <c r="B21" s="33" t="s">
        <v>106</v>
      </c>
      <c r="C21" s="121">
        <v>8275</v>
      </c>
      <c r="Y21" s="41" t="s">
        <v>218</v>
      </c>
      <c r="Z21" s="48" t="s">
        <v>219</v>
      </c>
      <c r="AA21" s="123">
        <v>1250</v>
      </c>
    </row>
    <row r="22" spans="1:27" x14ac:dyDescent="0.3">
      <c r="A22" s="52">
        <v>505552</v>
      </c>
      <c r="B22" s="34" t="s">
        <v>62</v>
      </c>
      <c r="C22" s="127">
        <v>9495</v>
      </c>
      <c r="Y22" s="55" t="s">
        <v>187</v>
      </c>
      <c r="Z22" s="44" t="s">
        <v>188</v>
      </c>
      <c r="AA22" s="128">
        <v>31050</v>
      </c>
    </row>
    <row r="23" spans="1:27" x14ac:dyDescent="0.3">
      <c r="A23" s="51" t="s">
        <v>108</v>
      </c>
      <c r="B23" s="33" t="s">
        <v>57</v>
      </c>
      <c r="C23" s="121">
        <v>3695</v>
      </c>
      <c r="Y23" s="55" t="s">
        <v>220</v>
      </c>
      <c r="Z23" s="44" t="s">
        <v>221</v>
      </c>
      <c r="AA23" s="128">
        <v>38000</v>
      </c>
    </row>
    <row r="24" spans="1:27" x14ac:dyDescent="0.3">
      <c r="A24" s="52">
        <v>520113</v>
      </c>
      <c r="B24" s="34" t="s">
        <v>110</v>
      </c>
      <c r="C24" s="127">
        <v>3741</v>
      </c>
      <c r="Y24" s="55" t="s">
        <v>222</v>
      </c>
      <c r="Z24" s="44" t="s">
        <v>223</v>
      </c>
      <c r="AA24" s="128"/>
    </row>
    <row r="25" spans="1:27" x14ac:dyDescent="0.3">
      <c r="A25" s="51">
        <v>503405</v>
      </c>
      <c r="B25" s="33" t="s">
        <v>112</v>
      </c>
      <c r="C25" s="121">
        <v>1626</v>
      </c>
    </row>
    <row r="26" spans="1:27" x14ac:dyDescent="0.3">
      <c r="A26" s="52">
        <v>516126</v>
      </c>
      <c r="B26" s="34" t="s">
        <v>66</v>
      </c>
      <c r="C26" s="127">
        <v>3470</v>
      </c>
    </row>
    <row r="27" spans="1:27" x14ac:dyDescent="0.3">
      <c r="A27" s="51">
        <v>513219</v>
      </c>
      <c r="B27" s="33" t="s">
        <v>115</v>
      </c>
      <c r="C27" s="121">
        <v>5550</v>
      </c>
    </row>
    <row r="28" spans="1:27" x14ac:dyDescent="0.3">
      <c r="A28" s="52">
        <v>504642</v>
      </c>
      <c r="B28" s="34" t="s">
        <v>65</v>
      </c>
      <c r="C28" s="127">
        <v>415</v>
      </c>
    </row>
    <row r="29" spans="1:27" x14ac:dyDescent="0.3">
      <c r="A29" s="51">
        <v>521324</v>
      </c>
      <c r="B29" s="33" t="s">
        <v>118</v>
      </c>
      <c r="C29" s="121">
        <v>5019.96</v>
      </c>
    </row>
    <row r="30" spans="1:27" x14ac:dyDescent="0.3">
      <c r="A30" s="52">
        <v>517671</v>
      </c>
      <c r="B30" s="34" t="s">
        <v>58</v>
      </c>
      <c r="C30" s="127">
        <v>1160</v>
      </c>
    </row>
    <row r="31" spans="1:27" x14ac:dyDescent="0.3">
      <c r="A31" s="51">
        <v>517672</v>
      </c>
      <c r="B31" s="33" t="s">
        <v>121</v>
      </c>
      <c r="C31" s="121">
        <v>1745</v>
      </c>
    </row>
    <row r="32" spans="1:27" x14ac:dyDescent="0.3">
      <c r="A32" s="52">
        <v>501797</v>
      </c>
      <c r="B32" s="34" t="s">
        <v>123</v>
      </c>
      <c r="C32" s="127">
        <v>1100</v>
      </c>
    </row>
    <row r="33" spans="1:3" x14ac:dyDescent="0.3">
      <c r="A33" s="51" t="s">
        <v>124</v>
      </c>
      <c r="B33" s="33" t="s">
        <v>125</v>
      </c>
      <c r="C33" s="121">
        <v>3131</v>
      </c>
    </row>
    <row r="34" spans="1:3" x14ac:dyDescent="0.3">
      <c r="A34" s="52" t="s">
        <v>126</v>
      </c>
      <c r="B34" s="72" t="s">
        <v>127</v>
      </c>
      <c r="C34" s="127">
        <v>25440</v>
      </c>
    </row>
    <row r="35" spans="1:3" x14ac:dyDescent="0.3">
      <c r="A35" s="51" t="s">
        <v>128</v>
      </c>
      <c r="B35" s="33" t="s">
        <v>129</v>
      </c>
      <c r="C35" s="121">
        <v>33775</v>
      </c>
    </row>
    <row r="36" spans="1:3" x14ac:dyDescent="0.3">
      <c r="A36" s="52" t="s">
        <v>126</v>
      </c>
      <c r="B36" s="79" t="s">
        <v>127</v>
      </c>
      <c r="C36" s="127">
        <v>23780</v>
      </c>
    </row>
    <row r="37" spans="1:3" x14ac:dyDescent="0.3">
      <c r="A37" s="52" t="s">
        <v>130</v>
      </c>
      <c r="B37" s="79" t="s">
        <v>131</v>
      </c>
      <c r="C37" s="127">
        <v>1830</v>
      </c>
    </row>
    <row r="38" spans="1:3" x14ac:dyDescent="0.3">
      <c r="A38" s="52" t="s">
        <v>132</v>
      </c>
      <c r="B38" s="79" t="s">
        <v>133</v>
      </c>
      <c r="C38" s="127">
        <v>5350</v>
      </c>
    </row>
    <row r="39" spans="1:3" x14ac:dyDescent="0.3">
      <c r="A39" s="52" t="s">
        <v>134</v>
      </c>
      <c r="B39" s="79" t="s">
        <v>135</v>
      </c>
      <c r="C39" s="127">
        <v>6300</v>
      </c>
    </row>
    <row r="40" spans="1:3" x14ac:dyDescent="0.3">
      <c r="A40" s="52" t="s">
        <v>136</v>
      </c>
      <c r="B40" s="79" t="s">
        <v>137</v>
      </c>
      <c r="C40" s="127">
        <v>5180</v>
      </c>
    </row>
    <row r="41" spans="1:3" x14ac:dyDescent="0.3">
      <c r="A41" s="52" t="s">
        <v>138</v>
      </c>
      <c r="B41" s="79" t="s">
        <v>139</v>
      </c>
      <c r="C41" s="127">
        <v>2750</v>
      </c>
    </row>
    <row r="42" spans="1:3" x14ac:dyDescent="0.3">
      <c r="A42" s="52" t="s">
        <v>140</v>
      </c>
      <c r="B42" s="79" t="s">
        <v>141</v>
      </c>
      <c r="C42" s="127">
        <v>3440</v>
      </c>
    </row>
    <row r="43" spans="1:3" x14ac:dyDescent="0.3">
      <c r="A43" s="52" t="s">
        <v>142</v>
      </c>
      <c r="B43" s="79" t="s">
        <v>143</v>
      </c>
      <c r="C43" s="127">
        <v>5160</v>
      </c>
    </row>
    <row r="44" spans="1:3" x14ac:dyDescent="0.3">
      <c r="A44" s="52" t="s">
        <v>144</v>
      </c>
      <c r="B44" s="79" t="s">
        <v>145</v>
      </c>
      <c r="C44" s="127">
        <v>25100</v>
      </c>
    </row>
    <row r="45" spans="1:3" x14ac:dyDescent="0.3">
      <c r="A45" s="52" t="s">
        <v>146</v>
      </c>
      <c r="B45" s="79" t="s">
        <v>147</v>
      </c>
      <c r="C45" s="127">
        <v>29200</v>
      </c>
    </row>
    <row r="46" spans="1:3" x14ac:dyDescent="0.3">
      <c r="A46" s="52" t="s">
        <v>148</v>
      </c>
      <c r="B46" s="79" t="s">
        <v>149</v>
      </c>
      <c r="C46" s="127">
        <v>14700</v>
      </c>
    </row>
    <row r="47" spans="1:3" x14ac:dyDescent="0.3">
      <c r="A47" s="52" t="s">
        <v>150</v>
      </c>
      <c r="B47" s="79" t="s">
        <v>151</v>
      </c>
      <c r="C47" s="127">
        <v>15225</v>
      </c>
    </row>
    <row r="48" spans="1:3" x14ac:dyDescent="0.3">
      <c r="A48" s="86" t="s">
        <v>152</v>
      </c>
      <c r="B48" s="79" t="s">
        <v>153</v>
      </c>
      <c r="C48" s="130">
        <v>22035</v>
      </c>
    </row>
  </sheetData>
  <mergeCells count="13">
    <mergeCell ref="AW3:AY4"/>
    <mergeCell ref="AS3:AU4"/>
    <mergeCell ref="AO3:AQ4"/>
    <mergeCell ref="AK3:AM4"/>
    <mergeCell ref="AG3:AI4"/>
    <mergeCell ref="A3:C4"/>
    <mergeCell ref="E3:G4"/>
    <mergeCell ref="AC3:AE4"/>
    <mergeCell ref="Q3:S4"/>
    <mergeCell ref="U3:W4"/>
    <mergeCell ref="Y3:AA4"/>
    <mergeCell ref="I3:K4"/>
    <mergeCell ref="M3:O4"/>
  </mergeCells>
  <pageMargins left="0.7" right="0.7" top="0.75" bottom="0.75" header="0.3" footer="0.3"/>
  <pageSetup orientation="portrait" horizontalDpi="360" verticalDpi="36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LISTADODEMATERIALES_Botón1_Haga_clic_en">
                <anchor moveWithCells="1">
                  <from>
                    <xdr:col>5</xdr:col>
                    <xdr:colOff>428625</xdr:colOff>
                    <xdr:row>0</xdr:row>
                    <xdr:rowOff>9525</xdr:rowOff>
                  </from>
                  <to>
                    <xdr:col>6</xdr:col>
                    <xdr:colOff>180975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3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J20"/>
  <sheetViews>
    <sheetView workbookViewId="0">
      <selection activeCell="A3" sqref="A3"/>
    </sheetView>
  </sheetViews>
  <sheetFormatPr defaultColWidth="11.42578125" defaultRowHeight="15" x14ac:dyDescent="0.3"/>
  <cols>
    <col min="1" max="1" width="27.7109375" bestFit="1" customWidth="1"/>
    <col min="2" max="2" width="18.140625" bestFit="1" customWidth="1"/>
    <col min="3" max="3" width="12.140625" bestFit="1" customWidth="1"/>
    <col min="4" max="4" width="32.28515625" bestFit="1" customWidth="1"/>
    <col min="5" max="5" width="36.140625" bestFit="1" customWidth="1"/>
    <col min="6" max="6" width="18.42578125" bestFit="1" customWidth="1"/>
    <col min="7" max="7" width="34.42578125" bestFit="1" customWidth="1"/>
  </cols>
  <sheetData>
    <row r="1" spans="1:10" x14ac:dyDescent="0.3">
      <c r="J1">
        <v>365</v>
      </c>
    </row>
    <row r="2" spans="1:10" x14ac:dyDescent="0.3">
      <c r="A2" t="s">
        <v>291</v>
      </c>
      <c r="B2" t="s">
        <v>292</v>
      </c>
      <c r="C2" t="s">
        <v>293</v>
      </c>
      <c r="D2" t="s">
        <v>294</v>
      </c>
      <c r="E2" t="s">
        <v>295</v>
      </c>
      <c r="F2" t="s">
        <v>296</v>
      </c>
      <c r="G2" t="s">
        <v>297</v>
      </c>
    </row>
    <row r="3" spans="1:10" x14ac:dyDescent="0.3">
      <c r="A3" s="23" t="s">
        <v>52</v>
      </c>
      <c r="B3" s="23" t="s">
        <v>51</v>
      </c>
      <c r="C3" s="23" t="s">
        <v>53</v>
      </c>
      <c r="D3" s="23" t="s">
        <v>54</v>
      </c>
      <c r="E3" s="23" t="s">
        <v>37</v>
      </c>
      <c r="F3" s="23" t="s">
        <v>55</v>
      </c>
      <c r="G3" t="s">
        <v>56</v>
      </c>
    </row>
    <row r="4" spans="1:10" x14ac:dyDescent="0.3">
      <c r="A4" t="s">
        <v>156</v>
      </c>
      <c r="B4" t="s">
        <v>298</v>
      </c>
      <c r="D4" t="s">
        <v>299</v>
      </c>
      <c r="E4" t="s">
        <v>300</v>
      </c>
      <c r="F4" t="s">
        <v>301</v>
      </c>
      <c r="G4" t="s">
        <v>302</v>
      </c>
    </row>
    <row r="5" spans="1:10" x14ac:dyDescent="0.3">
      <c r="A5" t="s">
        <v>176</v>
      </c>
      <c r="B5" t="s">
        <v>303</v>
      </c>
      <c r="C5" t="s">
        <v>304</v>
      </c>
      <c r="D5" t="s">
        <v>305</v>
      </c>
      <c r="E5" t="s">
        <v>37</v>
      </c>
      <c r="F5" t="s">
        <v>306</v>
      </c>
      <c r="G5" t="s">
        <v>307</v>
      </c>
    </row>
    <row r="6" spans="1:10" x14ac:dyDescent="0.3">
      <c r="A6" t="s">
        <v>181</v>
      </c>
    </row>
    <row r="7" spans="1:10" x14ac:dyDescent="0.3">
      <c r="A7" t="s">
        <v>184</v>
      </c>
      <c r="B7" t="s">
        <v>308</v>
      </c>
      <c r="C7" t="s">
        <v>309</v>
      </c>
      <c r="D7" t="s">
        <v>310</v>
      </c>
      <c r="E7" t="s">
        <v>37</v>
      </c>
      <c r="F7" t="s">
        <v>311</v>
      </c>
      <c r="G7" t="s">
        <v>312</v>
      </c>
    </row>
    <row r="8" spans="1:10" x14ac:dyDescent="0.3">
      <c r="A8" t="s">
        <v>231</v>
      </c>
      <c r="B8" t="s">
        <v>303</v>
      </c>
      <c r="C8" t="s">
        <v>313</v>
      </c>
      <c r="D8" t="s">
        <v>314</v>
      </c>
      <c r="E8" t="s">
        <v>37</v>
      </c>
      <c r="F8" t="s">
        <v>315</v>
      </c>
      <c r="G8" t="s">
        <v>311</v>
      </c>
    </row>
    <row r="9" spans="1:10" x14ac:dyDescent="0.3">
      <c r="A9" t="s">
        <v>316</v>
      </c>
      <c r="B9" t="s">
        <v>317</v>
      </c>
      <c r="C9" t="s">
        <v>318</v>
      </c>
      <c r="D9" t="s">
        <v>319</v>
      </c>
      <c r="E9" t="s">
        <v>37</v>
      </c>
      <c r="F9" s="71" t="s">
        <v>320</v>
      </c>
      <c r="G9" t="s">
        <v>311</v>
      </c>
    </row>
    <row r="10" spans="1:10" x14ac:dyDescent="0.3">
      <c r="A10" t="s">
        <v>226</v>
      </c>
      <c r="B10" t="s">
        <v>321</v>
      </c>
      <c r="C10" t="s">
        <v>322</v>
      </c>
      <c r="D10" t="s">
        <v>323</v>
      </c>
      <c r="E10" t="s">
        <v>37</v>
      </c>
      <c r="F10" t="s">
        <v>324</v>
      </c>
      <c r="G10" t="s">
        <v>311</v>
      </c>
    </row>
    <row r="11" spans="1:10" x14ac:dyDescent="0.3">
      <c r="A11" t="s">
        <v>242</v>
      </c>
      <c r="B11" t="s">
        <v>325</v>
      </c>
      <c r="C11" t="s">
        <v>326</v>
      </c>
      <c r="D11" t="s">
        <v>327</v>
      </c>
      <c r="E11" t="s">
        <v>37</v>
      </c>
      <c r="F11" s="87" t="s">
        <v>328</v>
      </c>
      <c r="G11" t="s">
        <v>329</v>
      </c>
    </row>
    <row r="12" spans="1:10" x14ac:dyDescent="0.3">
      <c r="A12" t="s">
        <v>245</v>
      </c>
      <c r="B12" t="s">
        <v>330</v>
      </c>
      <c r="C12" t="s">
        <v>331</v>
      </c>
      <c r="D12" t="s">
        <v>332</v>
      </c>
      <c r="E12" t="s">
        <v>37</v>
      </c>
      <c r="F12" s="23" t="s">
        <v>333</v>
      </c>
      <c r="G12" t="s">
        <v>334</v>
      </c>
    </row>
    <row r="13" spans="1:10" x14ac:dyDescent="0.3">
      <c r="A13" t="s">
        <v>254</v>
      </c>
      <c r="B13" t="s">
        <v>335</v>
      </c>
      <c r="C13" t="s">
        <v>336</v>
      </c>
      <c r="D13" t="s">
        <v>337</v>
      </c>
      <c r="E13" t="s">
        <v>37</v>
      </c>
      <c r="F13" t="s">
        <v>338</v>
      </c>
      <c r="G13" t="s">
        <v>339</v>
      </c>
    </row>
    <row r="14" spans="1:10" x14ac:dyDescent="0.3">
      <c r="A14" t="s">
        <v>261</v>
      </c>
    </row>
    <row r="15" spans="1:10" x14ac:dyDescent="0.3">
      <c r="A15" t="s">
        <v>11</v>
      </c>
      <c r="B15" t="s">
        <v>340</v>
      </c>
      <c r="C15" t="s">
        <v>341</v>
      </c>
      <c r="D15" t="s">
        <v>342</v>
      </c>
      <c r="E15" t="s">
        <v>37</v>
      </c>
      <c r="F15">
        <v>452210095</v>
      </c>
      <c r="G15" t="s">
        <v>343</v>
      </c>
    </row>
    <row r="16" spans="1:10" x14ac:dyDescent="0.3">
      <c r="A16" t="s">
        <v>344</v>
      </c>
      <c r="B16" t="s">
        <v>345</v>
      </c>
      <c r="C16" t="s">
        <v>346</v>
      </c>
      <c r="D16" t="s">
        <v>347</v>
      </c>
      <c r="E16" t="s">
        <v>37</v>
      </c>
      <c r="F16">
        <v>56452592310</v>
      </c>
      <c r="G16" t="s">
        <v>348</v>
      </c>
    </row>
    <row r="17" spans="1:7" x14ac:dyDescent="0.3">
      <c r="A17" t="s">
        <v>349</v>
      </c>
      <c r="B17" t="s">
        <v>350</v>
      </c>
      <c r="C17" t="s">
        <v>351</v>
      </c>
      <c r="D17" t="s">
        <v>352</v>
      </c>
      <c r="E17" t="s">
        <v>37</v>
      </c>
      <c r="F17" t="s">
        <v>353</v>
      </c>
      <c r="G17" t="s">
        <v>354</v>
      </c>
    </row>
    <row r="18" spans="1:7" x14ac:dyDescent="0.3">
      <c r="A18" t="s">
        <v>355</v>
      </c>
      <c r="B18" t="s">
        <v>356</v>
      </c>
      <c r="C18" t="s">
        <v>357</v>
      </c>
      <c r="D18" t="s">
        <v>358</v>
      </c>
      <c r="E18" t="s">
        <v>37</v>
      </c>
      <c r="F18" t="s">
        <v>359</v>
      </c>
    </row>
    <row r="19" spans="1:7" x14ac:dyDescent="0.3">
      <c r="A19" t="s">
        <v>360</v>
      </c>
      <c r="B19" t="s">
        <v>361</v>
      </c>
      <c r="C19" t="s">
        <v>341</v>
      </c>
      <c r="D19" t="s">
        <v>362</v>
      </c>
      <c r="E19" t="s">
        <v>37</v>
      </c>
      <c r="F19">
        <v>982488697</v>
      </c>
      <c r="G19" t="s">
        <v>363</v>
      </c>
    </row>
    <row r="20" spans="1:7" x14ac:dyDescent="0.3">
      <c r="A20" t="s">
        <v>364</v>
      </c>
      <c r="B20" t="s">
        <v>365</v>
      </c>
      <c r="C20" t="s">
        <v>366</v>
      </c>
      <c r="D20" t="s">
        <v>368</v>
      </c>
      <c r="E20" t="s">
        <v>37</v>
      </c>
      <c r="F20">
        <v>994589930</v>
      </c>
      <c r="G20" t="s">
        <v>367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CAPITAL</vt:lpstr>
      <vt:lpstr>MAHUIDA</vt:lpstr>
      <vt:lpstr>VENT.PVC 01</vt:lpstr>
      <vt:lpstr>EBEMA 02</vt:lpstr>
      <vt:lpstr>EBEMA 03</vt:lpstr>
      <vt:lpstr>TODOSLOSMATERIALES</vt:lpstr>
      <vt:lpstr>LISTADO DE MATERIALES</vt:lpstr>
      <vt:lpstr>LE</vt:lpstr>
      <vt:lpstr>CAPITAL!Print_Area</vt:lpstr>
      <vt:lpstr>'EBEMA 02'!Print_Area</vt:lpstr>
      <vt:lpstr>'EBEMA 03'!Print_Area</vt:lpstr>
      <vt:lpstr>MAHUIDA!Print_Area</vt:lpstr>
      <vt:lpstr>'VENT.PVC 01'!Print_Area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Orden de compra</dc:title>
  <dc:creator>Walter</dc:creator>
  <dc:description>Sistemas Web Venezuela</dc:description>
  <cp:lastModifiedBy>Jeyson Fritz</cp:lastModifiedBy>
  <cp:lastPrinted>2022-09-05T21:45:17Z</cp:lastPrinted>
  <dcterms:created xsi:type="dcterms:W3CDTF">2009-04-10T15:20:03Z</dcterms:created>
  <dcterms:modified xsi:type="dcterms:W3CDTF">2024-01-03T12:56:55Z</dcterms:modified>
</cp:coreProperties>
</file>